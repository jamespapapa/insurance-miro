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01. 월간생명보험통계\FY2023\202311\"/>
    </mc:Choice>
  </mc:AlternateContent>
  <xr:revisionPtr revIDLastSave="0" documentId="13_ncr:1_{A2594676-4D00-4991-A8B1-588BDA7FF0DF}" xr6:coauthVersionLast="36" xr6:coauthVersionMax="36" xr10:uidLastSave="{00000000-0000-0000-0000-000000000000}"/>
  <bookViews>
    <workbookView xWindow="120" yWindow="1080" windowWidth="11760" windowHeight="5055" tabRatio="800" activeTab="13" xr2:uid="{00000000-000D-0000-FFFF-FFFF00000000}"/>
  </bookViews>
  <sheets>
    <sheet name="I-1" sheetId="1" r:id="rId1"/>
    <sheet name="I-2" sheetId="2" r:id="rId2"/>
    <sheet name="I-3" sheetId="21" r:id="rId3"/>
    <sheet name="II-1" sheetId="9" r:id="rId4"/>
    <sheet name="II-2" sheetId="29" r:id="rId5"/>
    <sheet name="II-3" sheetId="11" r:id="rId6"/>
    <sheet name="III-1" sheetId="7" r:id="rId7"/>
    <sheet name="III-2" sheetId="6" r:id="rId8"/>
    <sheet name="III-3" sheetId="5" r:id="rId9"/>
    <sheet name="Ⅳ-1" sheetId="19" r:id="rId10"/>
    <sheet name="Ⅳ-2" sheetId="27" r:id="rId11"/>
    <sheet name="Ⅳ-3" sheetId="23" r:id="rId12"/>
    <sheet name="Ⅴ-1" sheetId="25" r:id="rId13"/>
    <sheet name="Ⅴ-2" sheetId="13" r:id="rId14"/>
  </sheets>
  <definedNames>
    <definedName name="_xlnm.Print_Area" localSheetId="9">'Ⅳ-1'!$A$1:$U$41</definedName>
    <definedName name="_xlnm.Print_Area" localSheetId="10">'Ⅳ-2'!$A$1:$I$39</definedName>
    <definedName name="_xlnm.Print_Area" localSheetId="11">'Ⅳ-3'!$A$1:$I$39</definedName>
    <definedName name="_xlnm.Print_Area" localSheetId="12">'Ⅴ-1'!$A$1:$U$39</definedName>
    <definedName name="_xlnm.Print_Area" localSheetId="13">'Ⅴ-2'!$A$1:$M$40</definedName>
    <definedName name="_xlnm.Print_Area" localSheetId="0">'I-1'!$A$1:$U$15</definedName>
    <definedName name="_xlnm.Print_Area" localSheetId="1">'I-2'!$A$1:$L$42</definedName>
    <definedName name="_xlnm.Print_Area" localSheetId="2">'I-3'!$A$1:$P$43</definedName>
    <definedName name="_xlnm.Print_Area" localSheetId="3">'II-1'!$A$1:$AX$45</definedName>
    <definedName name="_xlnm.Print_Area" localSheetId="5">'II-3'!$A$1:$I$43</definedName>
    <definedName name="_xlnm.Print_Area" localSheetId="6">'III-1'!$A$1:$AT$43</definedName>
    <definedName name="_xlnm.Print_Area" localSheetId="7">'III-2'!$A$1:$W$43</definedName>
    <definedName name="_xlnm.Print_Area" localSheetId="8">'III-3'!$A$1:$P$40</definedName>
    <definedName name="_xlnm.Print_Titles" localSheetId="9">'Ⅳ-1'!$A:$A</definedName>
    <definedName name="_xlnm.Print_Titles" localSheetId="12">'Ⅴ-1'!$A:$A</definedName>
    <definedName name="_xlnm.Print_Titles" localSheetId="7">'III-2'!$A:$A</definedName>
    <definedName name="_xlnm.Print_Titles" localSheetId="8">'III-3'!$A:$A</definedName>
  </definedNames>
  <calcPr calcId="191029"/>
</workbook>
</file>

<file path=xl/calcChain.xml><?xml version="1.0" encoding="utf-8"?>
<calcChain xmlns="http://schemas.openxmlformats.org/spreadsheetml/2006/main">
  <c r="A39" i="11" l="1"/>
  <c r="A36" i="25" l="1"/>
  <c r="A37" i="25"/>
  <c r="A35" i="25"/>
  <c r="A37" i="23"/>
  <c r="A38" i="23"/>
  <c r="A36" i="23"/>
  <c r="A37" i="27"/>
  <c r="A38" i="27"/>
  <c r="A36" i="27"/>
  <c r="A38" i="19"/>
  <c r="A39" i="19"/>
  <c r="A37" i="19"/>
  <c r="A37" i="5"/>
  <c r="A38" i="5"/>
  <c r="A36" i="5"/>
  <c r="A40" i="6"/>
  <c r="A41" i="6"/>
  <c r="A39" i="6"/>
  <c r="A41" i="7"/>
  <c r="A42" i="7"/>
  <c r="A40" i="7"/>
  <c r="A40" i="11"/>
  <c r="A41" i="11"/>
  <c r="A40" i="9"/>
  <c r="A41" i="9"/>
  <c r="A39" i="9"/>
  <c r="A39" i="21"/>
  <c r="A40" i="21"/>
  <c r="A38" i="21"/>
  <c r="A6" i="25" l="1"/>
  <c r="A6" i="11"/>
  <c r="A6" i="23"/>
  <c r="A6" i="27"/>
  <c r="A6" i="7"/>
  <c r="A6" i="6" s="1"/>
  <c r="A6" i="5" s="1"/>
  <c r="A6" i="19" s="1"/>
  <c r="A6" i="21"/>
</calcChain>
</file>

<file path=xl/sharedStrings.xml><?xml version="1.0" encoding="utf-8"?>
<sst xmlns="http://schemas.openxmlformats.org/spreadsheetml/2006/main" count="1158" uniqueCount="303">
  <si>
    <t>Total</t>
  </si>
  <si>
    <t>%</t>
  </si>
  <si>
    <t/>
  </si>
  <si>
    <t>Hanwha</t>
  </si>
  <si>
    <t>ABL</t>
  </si>
  <si>
    <t>Samsung</t>
  </si>
  <si>
    <t>Heungkuk</t>
  </si>
  <si>
    <t>Kyobo</t>
  </si>
  <si>
    <t>DGB</t>
  </si>
  <si>
    <t>MiraeAsset</t>
  </si>
  <si>
    <t>KDB</t>
  </si>
  <si>
    <t>DB</t>
  </si>
  <si>
    <t>Tongyang</t>
  </si>
  <si>
    <t>MetLife</t>
  </si>
  <si>
    <t>ChubbLife</t>
  </si>
  <si>
    <t>Hana</t>
  </si>
  <si>
    <t>BNP Paribas Cardif</t>
  </si>
  <si>
    <t>Fubonhyundai</t>
  </si>
  <si>
    <t>LINA</t>
  </si>
  <si>
    <t>AIA</t>
  </si>
  <si>
    <t>IBK</t>
  </si>
  <si>
    <t>NH</t>
  </si>
  <si>
    <t>Kyobo Life Planet</t>
  </si>
  <si>
    <t>ShinhanLife</t>
    <phoneticPr fontId="2" type="noConversion"/>
  </si>
  <si>
    <t xml:space="preserve"> </t>
    <phoneticPr fontId="2" type="noConversion"/>
  </si>
  <si>
    <t>T/M</t>
    <phoneticPr fontId="2" type="noConversion"/>
  </si>
  <si>
    <t>C/M</t>
    <phoneticPr fontId="2" type="noConversion"/>
  </si>
  <si>
    <t>KBLife</t>
    <phoneticPr fontId="2" type="noConversion"/>
  </si>
  <si>
    <t>G/A</t>
    <phoneticPr fontId="2" type="noConversion"/>
  </si>
  <si>
    <t>S/A</t>
    <phoneticPr fontId="2" type="noConversion"/>
  </si>
  <si>
    <t>Total</t>
    <phoneticPr fontId="2" type="noConversion"/>
  </si>
  <si>
    <t>Corporate</t>
    <phoneticPr fontId="2" type="noConversion"/>
  </si>
  <si>
    <t>Others</t>
  </si>
  <si>
    <t>Sub Total</t>
    <phoneticPr fontId="2" type="noConversion"/>
  </si>
  <si>
    <t>Sub-Branch</t>
  </si>
  <si>
    <t>Hanwha</t>
    <phoneticPr fontId="2" type="noConversion"/>
  </si>
  <si>
    <t>KBLife</t>
  </si>
  <si>
    <t>ShinhanLife</t>
  </si>
  <si>
    <t>I. Summary of Business</t>
  </si>
  <si>
    <t xml:space="preserve">  I-1. Summary of Life Insurance Business by Year</t>
  </si>
  <si>
    <t>unit: %</t>
    <phoneticPr fontId="2" type="noConversion"/>
  </si>
  <si>
    <t>Year</t>
    <phoneticPr fontId="2" type="noConversion"/>
  </si>
  <si>
    <t>New Business</t>
    <phoneticPr fontId="2" type="noConversion"/>
  </si>
  <si>
    <t>Business Conditions</t>
    <phoneticPr fontId="2" type="noConversion"/>
  </si>
  <si>
    <t>Lapses &amp; Surrenders</t>
    <phoneticPr fontId="2" type="noConversion"/>
  </si>
  <si>
    <t>Business in Force</t>
    <phoneticPr fontId="2" type="noConversion"/>
  </si>
  <si>
    <t>Business Performance</t>
    <phoneticPr fontId="2" type="noConversion"/>
  </si>
  <si>
    <t>Insurance
Income</t>
    <phoneticPr fontId="2" type="noConversion"/>
  </si>
  <si>
    <t>Insurance Service Expenses</t>
    <phoneticPr fontId="2" type="noConversion"/>
  </si>
  <si>
    <t>Investment
Income</t>
    <phoneticPr fontId="2" type="noConversion"/>
  </si>
  <si>
    <t>Investment
Expenses</t>
    <phoneticPr fontId="2" type="noConversion"/>
  </si>
  <si>
    <t xml:space="preserve">Net Income
(or Loss) </t>
    <phoneticPr fontId="2" type="noConversion"/>
  </si>
  <si>
    <t>Total Assets</t>
    <phoneticPr fontId="2" type="noConversion"/>
  </si>
  <si>
    <t>Separate Account 
Assets</t>
    <phoneticPr fontId="2" type="noConversion"/>
  </si>
  <si>
    <t>Invested Assets</t>
    <phoneticPr fontId="2" type="noConversion"/>
  </si>
  <si>
    <t>Assets</t>
    <phoneticPr fontId="2" type="noConversion"/>
  </si>
  <si>
    <t>Ratio of New Business</t>
    <phoneticPr fontId="2" type="noConversion"/>
  </si>
  <si>
    <t>Management Efficiency[%]</t>
    <phoneticPr fontId="2" type="noConversion"/>
  </si>
  <si>
    <t>Ratio of Lapses &amp; Surrenders</t>
    <phoneticPr fontId="2" type="noConversion"/>
  </si>
  <si>
    <t>Increase Ratio of Business in Force</t>
    <phoneticPr fontId="2" type="noConversion"/>
  </si>
  <si>
    <t>Ratio of
 Operating 
Expenses</t>
    <phoneticPr fontId="2" type="noConversion"/>
  </si>
  <si>
    <t>Operating Expenses</t>
    <phoneticPr fontId="2" type="noConversion"/>
  </si>
  <si>
    <t>Profit Rate of
Invested Assets</t>
    <phoneticPr fontId="2" type="noConversion"/>
  </si>
  <si>
    <t>Increase Ratio of Total Assets</t>
    <phoneticPr fontId="2" type="noConversion"/>
  </si>
  <si>
    <t>Ratio of
Invested Assets</t>
    <phoneticPr fontId="2" type="noConversion"/>
  </si>
  <si>
    <t>Business in Force per Capital(1,000won)</t>
    <phoneticPr fontId="2" type="noConversion"/>
  </si>
  <si>
    <t xml:space="preserve">  I-2. Summary of Business by Company</t>
  </si>
  <si>
    <t xml:space="preserve">unit: million won </t>
    <phoneticPr fontId="2" type="noConversion"/>
  </si>
  <si>
    <t>Insurance Income</t>
    <phoneticPr fontId="2" type="noConversion"/>
  </si>
  <si>
    <t>Insuracne Service Expenses</t>
    <phoneticPr fontId="2" type="noConversion"/>
  </si>
  <si>
    <t>Net Income
(or Loss)</t>
    <phoneticPr fontId="2" type="noConversion"/>
  </si>
  <si>
    <t>　I-3. Management Efficiency</t>
    <phoneticPr fontId="2" type="noConversion"/>
  </si>
  <si>
    <t>Ratio of Claim paid</t>
    <phoneticPr fontId="2" type="noConversion"/>
  </si>
  <si>
    <t>Average Insured Amount</t>
    <phoneticPr fontId="2" type="noConversion"/>
  </si>
  <si>
    <t>New Business(10 thousand won)</t>
    <phoneticPr fontId="2" type="noConversion"/>
  </si>
  <si>
    <t>Business in Force(10 thousand won)</t>
    <phoneticPr fontId="2" type="noConversion"/>
  </si>
  <si>
    <t>Average Premiums of New Business(won)
(per 10 thousand won of New Business)</t>
    <phoneticPr fontId="2" type="noConversion"/>
  </si>
  <si>
    <t>Profit Rate of Invested Assets</t>
    <phoneticPr fontId="2" type="noConversion"/>
  </si>
  <si>
    <t>Adjusted Profit Rate of Invested Assets</t>
    <phoneticPr fontId="2" type="noConversion"/>
  </si>
  <si>
    <t>Ratio of Invested Assets</t>
    <phoneticPr fontId="2" type="noConversion"/>
  </si>
  <si>
    <t>II. Financial Statement</t>
  </si>
  <si>
    <t>unit: million won</t>
    <phoneticPr fontId="2" type="noConversion"/>
  </si>
  <si>
    <t>Cash &amp; Deposits</t>
    <phoneticPr fontId="2" type="noConversion"/>
  </si>
  <si>
    <t>Stocks</t>
    <phoneticPr fontId="2" type="noConversion"/>
  </si>
  <si>
    <t>Government /Public Bonds</t>
    <phoneticPr fontId="2" type="noConversion"/>
  </si>
  <si>
    <t>Corporate
Bonds</t>
    <phoneticPr fontId="2" type="noConversion"/>
  </si>
  <si>
    <t>Investment Funds</t>
    <phoneticPr fontId="2" type="noConversion"/>
  </si>
  <si>
    <t>Securities in Foreign Currency</t>
    <phoneticPr fontId="2" type="noConversion"/>
  </si>
  <si>
    <t>Others</t>
    <phoneticPr fontId="2" type="noConversion"/>
  </si>
  <si>
    <t>Loans</t>
    <phoneticPr fontId="2" type="noConversion"/>
  </si>
  <si>
    <t>Loan Secured
by Real Estate</t>
    <phoneticPr fontId="2" type="noConversion"/>
  </si>
  <si>
    <t>Unsecured Loans</t>
    <phoneticPr fontId="2" type="noConversion"/>
  </si>
  <si>
    <t>Real Estate</t>
    <phoneticPr fontId="2" type="noConversion"/>
  </si>
  <si>
    <t>Lands</t>
    <phoneticPr fontId="2" type="noConversion"/>
  </si>
  <si>
    <t xml:space="preserve"> Building</t>
    <phoneticPr fontId="2" type="noConversion"/>
  </si>
  <si>
    <t>Insurance Contract Assets</t>
    <phoneticPr fontId="2" type="noConversion"/>
  </si>
  <si>
    <t>Other 
Accounts
Receivable</t>
    <phoneticPr fontId="2" type="noConversion"/>
  </si>
  <si>
    <t>Advanced
Payment</t>
    <phoneticPr fontId="2" type="noConversion"/>
  </si>
  <si>
    <t>Securities</t>
    <phoneticPr fontId="2" type="noConversion"/>
  </si>
  <si>
    <t>Non Operating Assets</t>
    <phoneticPr fontId="2" type="noConversion"/>
  </si>
  <si>
    <t>Leasehold &amp; Other Deposits</t>
    <phoneticPr fontId="2" type="noConversion"/>
  </si>
  <si>
    <t>Separate Acount Assets</t>
    <phoneticPr fontId="2" type="noConversion"/>
  </si>
  <si>
    <t>Insurance
Contract Liability</t>
    <phoneticPr fontId="2" type="noConversion"/>
  </si>
  <si>
    <t>Policy 
Loans</t>
    <phoneticPr fontId="2" type="noConversion"/>
  </si>
  <si>
    <t>Best Estimate
Liability</t>
    <phoneticPr fontId="2" type="noConversion"/>
  </si>
  <si>
    <t>Risk
Adjustment</t>
    <phoneticPr fontId="2" type="noConversion"/>
  </si>
  <si>
    <t>Remaining Coverage</t>
    <phoneticPr fontId="2" type="noConversion"/>
  </si>
  <si>
    <t>Incurred Claims</t>
    <phoneticPr fontId="2" type="noConversion"/>
  </si>
  <si>
    <t>Liabilities</t>
    <phoneticPr fontId="2" type="noConversion"/>
  </si>
  <si>
    <t>Contractual
Service
Margin</t>
    <phoneticPr fontId="2" type="noConversion"/>
  </si>
  <si>
    <t>Policyholder's Equity Adjustment</t>
    <phoneticPr fontId="2" type="noConversion"/>
  </si>
  <si>
    <t>Separate Account Liabilities</t>
    <phoneticPr fontId="2" type="noConversion"/>
  </si>
  <si>
    <t>Total Liabilities</t>
    <phoneticPr fontId="2" type="noConversion"/>
  </si>
  <si>
    <t>Capital Stock</t>
    <phoneticPr fontId="2" type="noConversion"/>
  </si>
  <si>
    <t>Capital Surplus</t>
    <phoneticPr fontId="2" type="noConversion"/>
  </si>
  <si>
    <t>Hybrid Bond</t>
    <phoneticPr fontId="2" type="noConversion"/>
  </si>
  <si>
    <t>Retained Adjustment</t>
    <phoneticPr fontId="2" type="noConversion"/>
  </si>
  <si>
    <t>Capital Adjustment</t>
    <phoneticPr fontId="2" type="noConversion"/>
  </si>
  <si>
    <t>Accumulated Other Comprehensive Income</t>
    <phoneticPr fontId="2" type="noConversion"/>
  </si>
  <si>
    <t>Shareholders' Equity</t>
    <phoneticPr fontId="2" type="noConversion"/>
  </si>
  <si>
    <t>Total Shareholder's Equity</t>
    <phoneticPr fontId="2" type="noConversion"/>
  </si>
  <si>
    <t>Total Liabilities &amp; Total Shareholders' Equity</t>
    <phoneticPr fontId="2" type="noConversion"/>
  </si>
  <si>
    <t>Investment Income</t>
    <phoneticPr fontId="2" type="noConversion"/>
  </si>
  <si>
    <t>(Other Accounts Payable)</t>
    <phoneticPr fontId="2" type="noConversion"/>
  </si>
  <si>
    <t>Balance Sheets</t>
    <phoneticPr fontId="2" type="noConversion"/>
  </si>
  <si>
    <t>Liabilities &amp; Policyholder's Reserves</t>
    <phoneticPr fontId="2" type="noConversion"/>
  </si>
  <si>
    <t>Policyholder's Reserves</t>
    <phoneticPr fontId="2" type="noConversion"/>
  </si>
  <si>
    <t>Premium Income</t>
    <phoneticPr fontId="2" type="noConversion"/>
  </si>
  <si>
    <t>Claims Paid</t>
    <phoneticPr fontId="2" type="noConversion"/>
  </si>
  <si>
    <t>III. Income &amp; Expenditure</t>
  </si>
  <si>
    <t>　III-1. Premium Income by Insurance Type</t>
    <phoneticPr fontId="2" type="noConversion"/>
  </si>
  <si>
    <t>First Premiums</t>
    <phoneticPr fontId="2" type="noConversion"/>
  </si>
  <si>
    <t>2nd &amp; Subsequent Premiums</t>
    <phoneticPr fontId="2" type="noConversion"/>
  </si>
  <si>
    <t>Non-Guaranteed Death Benefit</t>
    <phoneticPr fontId="2" type="noConversion"/>
  </si>
  <si>
    <t>Guaranteed Death Benefit</t>
    <phoneticPr fontId="2" type="noConversion"/>
  </si>
  <si>
    <t>Coverage Insurance</t>
    <phoneticPr fontId="2" type="noConversion"/>
  </si>
  <si>
    <t>Annuity</t>
    <phoneticPr fontId="2" type="noConversion"/>
  </si>
  <si>
    <t>First Premium</t>
    <phoneticPr fontId="2" type="noConversion"/>
  </si>
  <si>
    <t>Individual Insurance</t>
    <phoneticPr fontId="2" type="noConversion"/>
  </si>
  <si>
    <t>Savings Insurance</t>
    <phoneticPr fontId="2" type="noConversion"/>
  </si>
  <si>
    <t>General Account</t>
    <phoneticPr fontId="2" type="noConversion"/>
  </si>
  <si>
    <t>　III-2. Premium Income by Source of Distribution</t>
    <phoneticPr fontId="2" type="noConversion"/>
  </si>
  <si>
    <t>Consultant</t>
    <phoneticPr fontId="2" type="noConversion"/>
  </si>
  <si>
    <t>Agencies</t>
    <phoneticPr fontId="2" type="noConversion"/>
  </si>
  <si>
    <t>Insurance Agencies of Financial Institutions</t>
    <phoneticPr fontId="2" type="noConversion"/>
  </si>
  <si>
    <t>Company Staff</t>
    <phoneticPr fontId="2" type="noConversion"/>
  </si>
  <si>
    <t>Other</t>
    <phoneticPr fontId="2" type="noConversion"/>
  </si>
  <si>
    <t>Face to Face</t>
    <phoneticPr fontId="2" type="noConversion"/>
  </si>
  <si>
    <t>First Premium by type of solicitation</t>
    <phoneticPr fontId="2" type="noConversion"/>
  </si>
  <si>
    <t>GIRO</t>
    <phoneticPr fontId="2" type="noConversion"/>
  </si>
  <si>
    <t>Automation
Transfer</t>
    <phoneticPr fontId="2" type="noConversion"/>
  </si>
  <si>
    <t>Direct Payment</t>
    <phoneticPr fontId="2" type="noConversion"/>
  </si>
  <si>
    <t>Credit Card</t>
    <phoneticPr fontId="2" type="noConversion"/>
  </si>
  <si>
    <t>2nd &amp; Subsequent Premiums by receive method</t>
    <phoneticPr fontId="2" type="noConversion"/>
  </si>
  <si>
    <t>Bancassurance</t>
    <phoneticPr fontId="2" type="noConversion"/>
  </si>
  <si>
    <t>Single Payment</t>
    <phoneticPr fontId="2" type="noConversion"/>
  </si>
  <si>
    <t>Monthly Payment</t>
    <phoneticPr fontId="2" type="noConversion"/>
  </si>
  <si>
    <t>Premium by Method of Payments</t>
    <phoneticPr fontId="2" type="noConversion"/>
  </si>
  <si>
    <t>Death</t>
    <phoneticPr fontId="2" type="noConversion"/>
  </si>
  <si>
    <t>Accident</t>
    <phoneticPr fontId="2" type="noConversion"/>
  </si>
  <si>
    <t>Matured</t>
    <phoneticPr fontId="2" type="noConversion"/>
  </si>
  <si>
    <t>Retirement</t>
    <phoneticPr fontId="2" type="noConversion"/>
  </si>
  <si>
    <t>Benefit Payment</t>
    <phoneticPr fontId="2" type="noConversion"/>
  </si>
  <si>
    <t>Surrenders</t>
    <phoneticPr fontId="2" type="noConversion"/>
  </si>
  <si>
    <t>Lapses</t>
    <phoneticPr fontId="2" type="noConversion"/>
  </si>
  <si>
    <t>Death Benefits</t>
    <phoneticPr fontId="2" type="noConversion"/>
  </si>
  <si>
    <t>Hospitalization</t>
    <phoneticPr fontId="2" type="noConversion"/>
  </si>
  <si>
    <t>Pure Endowment</t>
    <phoneticPr fontId="2" type="noConversion"/>
  </si>
  <si>
    <t>Dividends</t>
    <phoneticPr fontId="2" type="noConversion"/>
  </si>
  <si>
    <t>　III-3. Benefit Payments·Refunds &amp; Dividends</t>
    <phoneticPr fontId="2" type="noConversion"/>
  </si>
  <si>
    <t>Refunds</t>
    <phoneticPr fontId="2" type="noConversion"/>
  </si>
  <si>
    <t>Eventinsured against</t>
    <phoneticPr fontId="2" type="noConversion"/>
  </si>
  <si>
    <t>Ⅳ. Business Status</t>
  </si>
  <si>
    <t>　Ⅳ-1. Business Results</t>
    <phoneticPr fontId="2" type="noConversion"/>
  </si>
  <si>
    <t>unit: no. of policies, million won</t>
    <phoneticPr fontId="2" type="noConversion"/>
  </si>
  <si>
    <t>No.</t>
    <phoneticPr fontId="2" type="noConversion"/>
  </si>
  <si>
    <t>Amount</t>
    <phoneticPr fontId="2" type="noConversion"/>
  </si>
  <si>
    <t>Reinstatment</t>
    <phoneticPr fontId="2" type="noConversion"/>
  </si>
  <si>
    <t>Other Increases</t>
    <phoneticPr fontId="2" type="noConversion"/>
  </si>
  <si>
    <t>Other Decreases</t>
    <phoneticPr fontId="2" type="noConversion"/>
  </si>
  <si>
    <t>Business in Force at the End of the Fiscal Year</t>
    <phoneticPr fontId="2" type="noConversion"/>
  </si>
  <si>
    <t>Retirement Pension</t>
    <phoneticPr fontId="2" type="noConversion"/>
  </si>
  <si>
    <t>Group Insurance</t>
    <phoneticPr fontId="2" type="noConversion"/>
  </si>
  <si>
    <t>　Ⅳ-3. Business in Force by Insurance Type</t>
    <phoneticPr fontId="2" type="noConversion"/>
  </si>
  <si>
    <t>Ⅴ. Organization Status</t>
    <phoneticPr fontId="2" type="noConversion"/>
  </si>
  <si>
    <t>　Ⅴ-1. Consultant by Region</t>
    <phoneticPr fontId="2" type="noConversion"/>
  </si>
  <si>
    <t>unit: person</t>
    <phoneticPr fontId="2" type="noConversion"/>
  </si>
  <si>
    <t>　Ⅴ-2. Office Workers &amp; Branch Offices</t>
    <phoneticPr fontId="2" type="noConversion"/>
  </si>
  <si>
    <t>unit: person, number</t>
    <phoneticPr fontId="2" type="noConversion"/>
  </si>
  <si>
    <t>Seoul</t>
    <phoneticPr fontId="2" type="noConversion"/>
  </si>
  <si>
    <t>Male</t>
    <phoneticPr fontId="2" type="noConversion"/>
  </si>
  <si>
    <t>Female</t>
    <phoneticPr fontId="2" type="noConversion"/>
  </si>
  <si>
    <t>Captive</t>
    <phoneticPr fontId="2" type="noConversion"/>
  </si>
  <si>
    <t>Registered</t>
    <phoneticPr fontId="2" type="noConversion"/>
  </si>
  <si>
    <t>Unregistered</t>
    <phoneticPr fontId="2" type="noConversion"/>
  </si>
  <si>
    <t>Directors</t>
    <phoneticPr fontId="2" type="noConversion"/>
  </si>
  <si>
    <t>Office Workers</t>
    <phoneticPr fontId="2" type="noConversion"/>
  </si>
  <si>
    <t>Branch Offices</t>
    <phoneticPr fontId="2" type="noConversion"/>
  </si>
  <si>
    <t>Total Individual Insurance</t>
    <phoneticPr fontId="2" type="noConversion"/>
  </si>
  <si>
    <t>Retirenment Pension</t>
    <phoneticPr fontId="2" type="noConversion"/>
  </si>
  <si>
    <t>Separate Account</t>
    <phoneticPr fontId="2" type="noConversion"/>
  </si>
  <si>
    <t>Variable</t>
    <phoneticPr fontId="2" type="noConversion"/>
  </si>
  <si>
    <t>Earnings-Based Dividend</t>
    <phoneticPr fontId="2" type="noConversion"/>
  </si>
  <si>
    <t>unit: million won,%</t>
    <phoneticPr fontId="2" type="noConversion"/>
  </si>
  <si>
    <t>년도</t>
    <phoneticPr fontId="2" type="noConversion"/>
  </si>
  <si>
    <t>2023.1</t>
    <phoneticPr fontId="2" type="noConversion"/>
  </si>
  <si>
    <t>Samsung</t>
    <phoneticPr fontId="2" type="noConversion"/>
  </si>
  <si>
    <t>Heungkuk</t>
    <phoneticPr fontId="2" type="noConversion"/>
  </si>
  <si>
    <t>Kyobo</t>
    <phoneticPr fontId="2" type="noConversion"/>
  </si>
  <si>
    <t>MiraeAsset</t>
    <phoneticPr fontId="2" type="noConversion"/>
  </si>
  <si>
    <t>Tongyang</t>
    <phoneticPr fontId="2" type="noConversion"/>
  </si>
  <si>
    <t>MetLife</t>
    <phoneticPr fontId="2" type="noConversion"/>
  </si>
  <si>
    <t>ChubbLife</t>
    <phoneticPr fontId="2" type="noConversion"/>
  </si>
  <si>
    <t>Hana</t>
    <phoneticPr fontId="2" type="noConversion"/>
  </si>
  <si>
    <t>BNP Paribas Cardif</t>
    <phoneticPr fontId="2" type="noConversion"/>
  </si>
  <si>
    <t>Fubonhyundai</t>
    <phoneticPr fontId="2" type="noConversion"/>
  </si>
  <si>
    <t>LINA</t>
    <phoneticPr fontId="2" type="noConversion"/>
  </si>
  <si>
    <t>NH</t>
    <phoneticPr fontId="2" type="noConversion"/>
  </si>
  <si>
    <t>Kyobo Life Planet</t>
    <phoneticPr fontId="2" type="noConversion"/>
  </si>
  <si>
    <t>Ratio of Operating Expenses</t>
    <phoneticPr fontId="2" type="noConversion"/>
  </si>
  <si>
    <t>Business in Force
at the Beginning of the Fiscal Year</t>
    <phoneticPr fontId="2" type="noConversion"/>
  </si>
  <si>
    <t>Busan</t>
    <phoneticPr fontId="2" type="noConversion"/>
  </si>
  <si>
    <t>Daegu</t>
    <phoneticPr fontId="2" type="noConversion"/>
  </si>
  <si>
    <t>Incheon</t>
    <phoneticPr fontId="2" type="noConversion"/>
  </si>
  <si>
    <t>Gwangju</t>
    <phoneticPr fontId="2" type="noConversion"/>
  </si>
  <si>
    <t>Daejeon</t>
    <phoneticPr fontId="2" type="noConversion"/>
  </si>
  <si>
    <t>Ulsan</t>
    <phoneticPr fontId="2" type="noConversion"/>
  </si>
  <si>
    <t>Gyeonggi</t>
    <phoneticPr fontId="2" type="noConversion"/>
  </si>
  <si>
    <t>Gangwon</t>
    <phoneticPr fontId="2" type="noConversion"/>
  </si>
  <si>
    <t>Cheungbuk</t>
    <phoneticPr fontId="2" type="noConversion"/>
  </si>
  <si>
    <t>Cheungnam</t>
    <phoneticPr fontId="2" type="noConversion"/>
  </si>
  <si>
    <t>Jeonbuk</t>
    <phoneticPr fontId="2" type="noConversion"/>
  </si>
  <si>
    <t>Jeonnam</t>
    <phoneticPr fontId="2" type="noConversion"/>
  </si>
  <si>
    <t>Gyeongbuk</t>
    <phoneticPr fontId="2" type="noConversion"/>
  </si>
  <si>
    <t>Gyeongnam</t>
    <phoneticPr fontId="2" type="noConversion"/>
  </si>
  <si>
    <t>Jeju</t>
    <phoneticPr fontId="2" type="noConversion"/>
  </si>
  <si>
    <t>Staffs</t>
    <phoneticPr fontId="2" type="noConversion"/>
  </si>
  <si>
    <t>Management</t>
    <phoneticPr fontId="2" type="noConversion"/>
  </si>
  <si>
    <t>Branch</t>
    <phoneticPr fontId="2" type="noConversion"/>
  </si>
  <si>
    <t>Overseas</t>
    <phoneticPr fontId="2" type="noConversion"/>
  </si>
  <si>
    <t>Individual</t>
    <phoneticPr fontId="2" type="noConversion"/>
  </si>
  <si>
    <t>　II-1. Balance Sheets(Total)</t>
    <phoneticPr fontId="2" type="noConversion"/>
  </si>
  <si>
    <t>　Ⅳ-2. New Business by Insurance Type</t>
    <phoneticPr fontId="2" type="noConversion"/>
  </si>
  <si>
    <t>Income &amp; Expenditure</t>
    <phoneticPr fontId="2" type="noConversion"/>
  </si>
  <si>
    <t xml:space="preserve">Ratio of Lapses &amp; Surrenders </t>
    <phoneticPr fontId="2" type="noConversion"/>
  </si>
  <si>
    <t xml:space="preserve">Increase Ratio of Business in Force </t>
    <phoneticPr fontId="2" type="noConversion"/>
  </si>
  <si>
    <t>Pension savings</t>
    <phoneticPr fontId="2" type="noConversion"/>
  </si>
  <si>
    <t>Asset-Linked</t>
    <phoneticPr fontId="2" type="noConversion"/>
  </si>
  <si>
    <t>Guaranteed Investment Contract(GIC)</t>
    <phoneticPr fontId="2" type="noConversion"/>
  </si>
  <si>
    <t>Excludin Annuity</t>
    <phoneticPr fontId="2" type="noConversion"/>
  </si>
  <si>
    <t>2023.2</t>
  </si>
  <si>
    <t>-</t>
  </si>
  <si>
    <t>2023.3</t>
  </si>
  <si>
    <t>　II-3. Financial Statement of Separate Account(Earnings-Based Dividend)</t>
    <phoneticPr fontId="2" type="noConversion"/>
  </si>
  <si>
    <t>Income Statement</t>
    <phoneticPr fontId="2" type="noConversion"/>
  </si>
  <si>
    <t>Income</t>
    <phoneticPr fontId="2" type="noConversion"/>
  </si>
  <si>
    <t>Expenses</t>
    <phoneticPr fontId="2" type="noConversion"/>
  </si>
  <si>
    <t>Total Income</t>
    <phoneticPr fontId="2" type="noConversion"/>
  </si>
  <si>
    <t>Increase in Policyholder's Reserves</t>
    <phoneticPr fontId="2" type="noConversion"/>
  </si>
  <si>
    <t>S/A Opearting
Commision</t>
    <phoneticPr fontId="2" type="noConversion"/>
  </si>
  <si>
    <t>Total Expenses</t>
    <phoneticPr fontId="2" type="noConversion"/>
  </si>
  <si>
    <t>　II-2. Statement of Comprehensive Income(Total)</t>
    <phoneticPr fontId="2" type="noConversion"/>
  </si>
  <si>
    <t>Insurance Profit and Loss</t>
    <phoneticPr fontId="2" type="noConversion"/>
  </si>
  <si>
    <t>Investment Profit and Loss</t>
    <phoneticPr fontId="2" type="noConversion"/>
  </si>
  <si>
    <t>Other Profit and Loss</t>
    <phoneticPr fontId="2" type="noConversion"/>
  </si>
  <si>
    <t>Income Tax Expenses</t>
    <phoneticPr fontId="2" type="noConversion"/>
  </si>
  <si>
    <t>Net Income [or Loss]</t>
    <phoneticPr fontId="2" type="noConversion"/>
  </si>
  <si>
    <t>Insurance Revenue</t>
    <phoneticPr fontId="2" type="noConversion"/>
  </si>
  <si>
    <t>Reinsurance Income</t>
    <phoneticPr fontId="2" type="noConversion"/>
  </si>
  <si>
    <t>Reinsurance Service Expenses</t>
    <phoneticPr fontId="2" type="noConversion"/>
  </si>
  <si>
    <t>Investment Expenses</t>
    <phoneticPr fontId="2" type="noConversion"/>
  </si>
  <si>
    <t>Non Operating Income</t>
    <phoneticPr fontId="2" type="noConversion"/>
  </si>
  <si>
    <t>Non Operating Expenses</t>
    <phoneticPr fontId="2" type="noConversion"/>
  </si>
  <si>
    <t>Expected Insurance Payment</t>
    <phoneticPr fontId="2" type="noConversion"/>
  </si>
  <si>
    <t>Expected Operating Expenses</t>
    <phoneticPr fontId="2" type="noConversion"/>
  </si>
  <si>
    <t>Changes in Risk Adjustment</t>
    <phoneticPr fontId="2" type="noConversion"/>
  </si>
  <si>
    <t>CSM Amortization</t>
    <phoneticPr fontId="2" type="noConversion"/>
  </si>
  <si>
    <t>Incurred Insurance Payment</t>
    <phoneticPr fontId="2" type="noConversion"/>
  </si>
  <si>
    <t>Incurred Operating Expenses</t>
    <phoneticPr fontId="2" type="noConversion"/>
  </si>
  <si>
    <t>Insurance Finance Income</t>
    <phoneticPr fontId="2" type="noConversion"/>
  </si>
  <si>
    <t>Insurance Finance Expenses</t>
    <phoneticPr fontId="2" type="noConversion"/>
  </si>
  <si>
    <t>*  The number of Business Performance is counted quarterly based on the Business Reports.</t>
    <phoneticPr fontId="2" type="noConversion"/>
  </si>
  <si>
    <t>* Income Statement is counted quarterly based on the Business Reports</t>
    <phoneticPr fontId="2" type="noConversion"/>
  </si>
  <si>
    <t>※General Account Performance excluding Retirement Pension</t>
    <phoneticPr fontId="2" type="noConversion"/>
  </si>
  <si>
    <t>※ Individual and Group Insurance is counted excluding Retiremnt Pension</t>
    <phoneticPr fontId="2" type="noConversion"/>
  </si>
  <si>
    <t>*  The number of Office Workers, Branch Offices and Agencies is counted quarterly based on the Business Reports.</t>
    <phoneticPr fontId="2" type="noConversion"/>
  </si>
  <si>
    <t>2023.4</t>
  </si>
  <si>
    <t>* Statement of Comprehensive Income is counted quarterly based on the Business Reports.</t>
    <phoneticPr fontId="2" type="noConversion"/>
  </si>
  <si>
    <t>2023.5</t>
    <phoneticPr fontId="2" type="noConversion"/>
  </si>
  <si>
    <t>2023.6</t>
    <phoneticPr fontId="2" type="noConversion"/>
  </si>
  <si>
    <t>Other
Business
Expenses</t>
    <phoneticPr fontId="2" type="noConversion"/>
  </si>
  <si>
    <t>2023.7</t>
    <phoneticPr fontId="2" type="noConversion"/>
  </si>
  <si>
    <t>2023.8</t>
    <phoneticPr fontId="2" type="noConversion"/>
  </si>
  <si>
    <t>2023.9</t>
    <phoneticPr fontId="2" type="noConversion"/>
  </si>
  <si>
    <t>2023.2/4Q</t>
    <phoneticPr fontId="2" type="noConversion"/>
  </si>
  <si>
    <t>2023. 3/4Q</t>
    <phoneticPr fontId="2" type="noConversion"/>
  </si>
  <si>
    <t>2023.10</t>
    <phoneticPr fontId="2" type="noConversion"/>
  </si>
  <si>
    <t>2023.11</t>
    <phoneticPr fontId="2" type="noConversion"/>
  </si>
  <si>
    <t>2023. 1. 1. - 2023. 11. 30.</t>
    <phoneticPr fontId="2" type="noConversion"/>
  </si>
  <si>
    <t>2023.10</t>
    <phoneticPr fontId="2" type="noConversion"/>
  </si>
  <si>
    <t>2023.9</t>
    <phoneticPr fontId="2" type="noConversion"/>
  </si>
  <si>
    <t>2023.8</t>
    <phoneticPr fontId="2" type="noConversion"/>
  </si>
  <si>
    <t>2023. 11. 30.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</si>
</sst>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 "/>
    <numFmt numFmtId="177" formatCode="0.0"/>
    <numFmt numFmtId="178" formatCode="#,##0.0"/>
    <numFmt numFmtId="179" formatCode="#,##0.0_ "/>
    <numFmt numFmtId="180" formatCode="#,##0.00_ "/>
    <numFmt numFmtId="181" formatCode="0_ "/>
    <numFmt numFmtId="182" formatCode="0.00000000"/>
    <numFmt numFmtId="183" formatCode="_ * #,##0_ ;_ * \-#,##0_ ;_ * &quot;-&quot;_ ;_ @_ "/>
    <numFmt numFmtId="184" formatCode="_ * #,##0.00_ ;_ * \-#,##0.00_ ;_ * &quot;-&quot;??_ ;_ @_ 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mmm\.yy"/>
    <numFmt numFmtId="188" formatCode="_ &quot;₩&quot;* #,##0.00_ ;_ &quot;₩&quot;* &quot;₩&quot;\-#,##0.00_ ;_ &quot;₩&quot;* &quot;-&quot;??_ ;_ @_ "/>
    <numFmt numFmtId="189" formatCode="_-[$€-2]* #,##0.00_-;\-[$€-2]* #,##0.00_-;_-[$€-2]* &quot;-&quot;??_-"/>
    <numFmt numFmtId="190" formatCode="_(&quot;$&quot;* #,##0_);_(&quot;$&quot;* \(#,##0\);_(&quot;$&quot;* &quot;-&quot;??_);_(@_)"/>
    <numFmt numFmtId="191" formatCode="0%_);\(0%\)"/>
    <numFmt numFmtId="192" formatCode="#,##0&quot;台&quot;"/>
    <numFmt numFmtId="193" formatCode="#."/>
    <numFmt numFmtId="194" formatCode="_ &quot;₩&quot;* #,##0_ ;_ &quot;₩&quot;* &quot;₩&quot;\!\-#,##0_ ;_ &quot;₩&quot;* &quot;-&quot;_ ;_ @_ "/>
    <numFmt numFmtId="195" formatCode="&quot;₩&quot;#,##0.00;&quot;₩&quot;&quot;₩&quot;&quot;₩&quot;&quot;₩&quot;&quot;₩&quot;\!\-#,##0.00"/>
    <numFmt numFmtId="196" formatCode="&quot;₩&quot;#,##0_);&quot;₩&quot;&quot;₩&quot;\(&quot;₩&quot;#,##0&quot;₩&quot;&quot;₩&quot;\)"/>
    <numFmt numFmtId="197" formatCode="#,##0;&quot;△&quot;#,##0"/>
    <numFmt numFmtId="198" formatCode="_(&quot;$&quot;* #,##0_);_(&quot;$&quot;* &quot;₩&quot;&quot;₩&quot;&quot;₩&quot;&quot;₩&quot;&quot;₩&quot;&quot;₩&quot;\(#,##0&quot;₩&quot;&quot;₩&quot;&quot;₩&quot;&quot;₩&quot;&quot;₩&quot;&quot;₩&quot;\);_(&quot;$&quot;* &quot;-&quot;_);_(@_)"/>
    <numFmt numFmtId="199" formatCode="&quot;₩&quot;#,##0.00;&quot;₩&quot;\-#,##0.00"/>
    <numFmt numFmtId="200" formatCode="#,##0;[Red]&quot;△&quot;#,##0"/>
    <numFmt numFmtId="201" formatCode="#,##0;&quot;-&quot;#,##0"/>
    <numFmt numFmtId="202" formatCode="&quot; ￦&quot;#,##0_);&quot;(￦&quot;#,##0\);&quot; ￦&quot;\-_)"/>
    <numFmt numFmtId="203" formatCode="#,##0;[Red]\-#,##0;\-"/>
    <numFmt numFmtId="204" formatCode="&quot;₩&quot;#,##0.00;[Red]&quot;₩&quot;\-#,##0.00"/>
    <numFmt numFmtId="205" formatCode="&quot;₩&quot;#,##0;[Red]&quot;₩&quot;\-#,##0"/>
    <numFmt numFmtId="206" formatCode="\ \ \ \ \ @"/>
    <numFmt numFmtId="207" formatCode="_-&quot;$&quot;* #,##0_-;\-&quot;$&quot;* #,##0_-;_-&quot;$&quot;* &quot;-&quot;_-;_-@_-"/>
    <numFmt numFmtId="208" formatCode="_-&quot;$&quot;* #,##0.00_-;\-&quot;$&quot;* #,##0.00_-;_-&quot;$&quot;* &quot;-&quot;??_-;_-@_-"/>
    <numFmt numFmtId="209" formatCode="_ &quot;₩&quot;* #,##0_ ;_ &quot;₩&quot;* &quot;₩&quot;&quot;₩&quot;&quot;₩&quot;&quot;₩&quot;&quot;₩&quot;&quot;₩&quot;&quot;₩&quot;\-#,##0_ ;_ &quot;₩&quot;* &quot;-&quot;_ ;_ @_ "/>
    <numFmt numFmtId="210" formatCode="_ &quot;$&quot;* #,##0_ ;_ &quot;$&quot;* \-#,##0_ ;_ &quot;$&quot;* &quot;-&quot;_ ;_ @_ "/>
    <numFmt numFmtId="211" formatCode="&quot;₩&quot;#,##0;[Red]&quot;₩&quot;&quot;-&quot;#,##0"/>
    <numFmt numFmtId="212" formatCode="_(&quot;$&quot;* #,##0_);_(&quot;$&quot;* \(#,##0\);_(&quot;$&quot;* &quot;-&quot;_);_(@_)"/>
    <numFmt numFmtId="213" formatCode="&quot;$&quot;#,##0_);[Red]\(&quot;$&quot;#,##0\)"/>
    <numFmt numFmtId="214" formatCode="_ &quot;₩&quot;* #,##0.00_ ;_ &quot;₩&quot;* &quot;₩&quot;&quot;₩&quot;&quot;₩&quot;&quot;₩&quot;&quot;₩&quot;&quot;₩&quot;&quot;₩&quot;\-#,##0.00_ ;_ &quot;₩&quot;* &quot;-&quot;??_ ;_ @_ "/>
    <numFmt numFmtId="215" formatCode="_ &quot;$&quot;* #,##0.00_ ;_ &quot;$&quot;* \-#,##0.00_ ;_ &quot;$&quot;* &quot;-&quot;??_ ;_ @_ "/>
    <numFmt numFmtId="216" formatCode="_(&quot;$&quot;* #,##0.00_);_(&quot;$&quot;* \(#,##0.00\);_(&quot;$&quot;* &quot;-&quot;??_);_(@_)"/>
    <numFmt numFmtId="217" formatCode="&quot;$&quot;#,##0.00_);[Red]\(&quot;$&quot;#,##0.00\)"/>
    <numFmt numFmtId="218" formatCode="#,##0;[Red]&quot;-&quot;#,##0"/>
    <numFmt numFmtId="219" formatCode="_ * #,##0.00_ ;_ * &quot;₩&quot;&quot;₩&quot;&quot;₩&quot;&quot;₩&quot;&quot;₩&quot;&quot;₩&quot;&quot;₩&quot;\-#,##0.00_ ;_ * &quot;-&quot;??_ ;_ @_ "/>
    <numFmt numFmtId="220" formatCode="#,##0.00;[Red]&quot;-&quot;#,##0.00"/>
    <numFmt numFmtId="221" formatCode="_-* #,##0.000_-;\-* #,##0.000_-;_-* &quot;-&quot;_-;_-@_-"/>
    <numFmt numFmtId="222" formatCode="General_)"/>
    <numFmt numFmtId="223" formatCode="0.0000000%"/>
    <numFmt numFmtId="224" formatCode="0.000%"/>
    <numFmt numFmtId="225" formatCode="&quot;₩&quot;#,##0;[Red]&quot;₩&quot;&quot;₩&quot;\-#,##0"/>
    <numFmt numFmtId="226" formatCode="&quot;₩&quot;#,##0;&quot;₩&quot;&quot;₩&quot;&quot;₩&quot;&quot;₩&quot;\-#,##0"/>
    <numFmt numFmtId="227" formatCode="_ * #,##0_ ;_ * &quot;₩&quot;\-#,##0_ ;_ * &quot;-&quot;_ ;_ @_ "/>
    <numFmt numFmtId="228" formatCode="&quot;₩&quot;#,##0.00;&quot;₩&quot;&quot;₩&quot;\-#,##0.00"/>
    <numFmt numFmtId="229" formatCode="_ &quot;₩&quot;* #,##0_ ;_ &quot;₩&quot;* &quot;₩&quot;\-#,##0_ ;_ &quot;₩&quot;* &quot;-&quot;_ ;_ @_ "/>
    <numFmt numFmtId="230" formatCode="_ * #,##0.0000_ ;_ * \-#,##0.0000_ ;_ * &quot;-&quot;_ ;_ @_ "/>
    <numFmt numFmtId="231" formatCode="0.0000%"/>
    <numFmt numFmtId="232" formatCode="0.00000%"/>
    <numFmt numFmtId="233" formatCode="&quot;₩&quot;#,##0.00;[Red]&quot;₩&quot;&quot;₩&quot;\-#,##0.00"/>
    <numFmt numFmtId="234" formatCode="0.000000%"/>
    <numFmt numFmtId="235" formatCode="#,##0&quot;£&quot;_);[Red]\(#,##0&quot;£&quot;\)"/>
    <numFmt numFmtId="236" formatCode="\(0.0%\)"/>
    <numFmt numFmtId="237" formatCode="yyyy&quot;Ò´&quot;&quot;₩&quot;&quot;₩&quot;\ mm&quot;êÅ&quot;&quot;₩&quot;&quot;₩&quot;\ dd&quot;ìí&quot;"/>
    <numFmt numFmtId="238" formatCode="#.##"/>
    <numFmt numFmtId="239" formatCode="#,##0_%_);\(#,##0\)_%;#,##0_%_);@_%_)"/>
    <numFmt numFmtId="240" formatCode="#,##0.00_%_);\(#,##0.00\)_%;#,##0.00_%_);@_%_)"/>
    <numFmt numFmtId="241" formatCode="&quot;$&quot;#,##0_%_);\(&quot;$&quot;#,##0\)_%;&quot;$&quot;#,##0_%_);@_%_)"/>
    <numFmt numFmtId="242" formatCode="&quot;$&quot;#,##0.00_%_);\(&quot;$&quot;#,##0.00\)_%;&quot;$&quot;#,##0.00_%_);@_%_)"/>
    <numFmt numFmtId="243" formatCode="m/d/yy_%_)"/>
    <numFmt numFmtId="244" formatCode="* #,##0_%;* \-#,##0_%;* #,##0_%;@_%"/>
    <numFmt numFmtId="245" formatCode="0_%_);\(0\)_%;0_%_);@_%_)"/>
    <numFmt numFmtId="246" formatCode="0.0\%_);\(0.0\%\);0.0\%_);@_%_)"/>
    <numFmt numFmtId="247" formatCode="\ \ \ #,###"/>
    <numFmt numFmtId="248" formatCode="&quot;SFr.&quot;#,##0;[Red]&quot;SFr.&quot;\-#,##0"/>
    <numFmt numFmtId="249" formatCode="#,##0&quot;포&quot;"/>
    <numFmt numFmtId="250" formatCode="#,##0&quot;Vial&quot;"/>
    <numFmt numFmtId="251" formatCode="&quot;$&quot;#,##0.00_);\(&quot;$&quot;#,##0.00\)"/>
    <numFmt numFmtId="252" formatCode="000000"/>
    <numFmt numFmtId="253" formatCode="0.0,,,"/>
    <numFmt numFmtId="254" formatCode="#,##0&quot;㎖&quot;"/>
    <numFmt numFmtId="255" formatCode="#,##0&quot;앰플&quot;"/>
    <numFmt numFmtId="256" formatCode="#,##0&quot;g&quot;"/>
    <numFmt numFmtId="257" formatCode="&quot;PG1130&quot;@&quot;01&quot;"/>
    <numFmt numFmtId="258" formatCode="&quot;₩&quot;#,##0;[Red]&quot;₩&quot;\!\-&quot;₩&quot;#,##0"/>
    <numFmt numFmtId="259" formatCode="#0&quot;일&quot;"/>
    <numFmt numFmtId="260" formatCode="#,##0&quot;정&quot;"/>
    <numFmt numFmtId="261" formatCode="#,##0&quot;매&quot;"/>
    <numFmt numFmtId="262" formatCode="&quot;#&quot;##0"/>
    <numFmt numFmtId="263" formatCode="[Blue]#,##0.00;[Red]\-#,##0.00"/>
    <numFmt numFmtId="264" formatCode="#,##0&quot;캅셀&quot;"/>
    <numFmt numFmtId="265" formatCode="#,##0\ "/>
    <numFmt numFmtId="266" formatCode="&quot;US$&quot;#,##0.00_);\(&quot;US$&quot;#,##0.00\)"/>
    <numFmt numFmtId="267" formatCode="&quot;$&quot;#,##0_);\(&quot;$&quot;#,##0\)"/>
    <numFmt numFmtId="268" formatCode="#,##0;\△#,##0;\-"/>
    <numFmt numFmtId="269" formatCode="0.0;\△0.0;\-"/>
    <numFmt numFmtId="270" formatCode="0.0;\△0.0;0.0"/>
    <numFmt numFmtId="271" formatCode="#,##0.0;\△#,##0.0;\-"/>
    <numFmt numFmtId="272" formatCode="#,##0;\-#,##0;\-"/>
    <numFmt numFmtId="273" formatCode="#,##0;\△#,##0;0"/>
  </numFmts>
  <fonts count="25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체"/>
      <family val="3"/>
      <charset val="129"/>
    </font>
    <font>
      <sz val="9"/>
      <name val="돋움체"/>
      <family val="3"/>
      <charset val="129"/>
    </font>
    <font>
      <sz val="9"/>
      <name val="바탕체"/>
      <family val="1"/>
      <charset val="129"/>
    </font>
    <font>
      <b/>
      <sz val="14"/>
      <name val="바탕체"/>
      <family val="1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4"/>
      <name val="돋움체"/>
      <family val="3"/>
      <charset val="129"/>
    </font>
    <font>
      <b/>
      <sz val="9"/>
      <color indexed="10"/>
      <name val="돋움체"/>
      <family val="3"/>
      <charset val="129"/>
    </font>
    <font>
      <b/>
      <sz val="9"/>
      <name val="돋움체"/>
      <family val="3"/>
      <charset val="129"/>
    </font>
    <font>
      <b/>
      <sz val="10"/>
      <name val="돋움체"/>
      <family val="3"/>
      <charset val="129"/>
    </font>
    <font>
      <sz val="14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돋움체"/>
      <family val="3"/>
      <charset val="129"/>
    </font>
    <font>
      <u/>
      <sz val="11"/>
      <color indexed="12"/>
      <name val="돋움"/>
      <family val="3"/>
      <charset val="129"/>
    </font>
    <font>
      <sz val="9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12"/>
      <name val="돋움"/>
      <family val="3"/>
      <charset val="129"/>
    </font>
    <font>
      <sz val="12"/>
      <name val="바탕체"/>
      <family val="1"/>
      <charset val="129"/>
    </font>
    <font>
      <sz val="9"/>
      <color indexed="8"/>
      <name val="맑은 고딕"/>
      <family val="3"/>
      <charset val="129"/>
    </font>
    <font>
      <sz val="11"/>
      <name val="굴림체"/>
      <family val="3"/>
      <charset val="129"/>
    </font>
    <font>
      <sz val="11"/>
      <color indexed="8"/>
      <name val="Calibri"/>
      <family val="2"/>
    </font>
    <font>
      <b/>
      <sz val="10"/>
      <name val="MS Sans Serif"/>
      <family val="2"/>
    </font>
    <font>
      <sz val="10"/>
      <name val="굴림체"/>
      <family val="3"/>
      <charset val="129"/>
    </font>
    <font>
      <sz val="11"/>
      <name val="뼻뮝"/>
      <family val="3"/>
      <charset val="129"/>
    </font>
    <font>
      <sz val="10"/>
      <name val="Arial"/>
      <family val="2"/>
    </font>
    <font>
      <sz val="10"/>
      <color indexed="8"/>
      <name val="Calibri"/>
      <family val="2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10"/>
      <name val="Arial"/>
      <family val="2"/>
    </font>
    <font>
      <sz val="10"/>
      <name val="굴림"/>
      <family val="3"/>
      <charset val="129"/>
    </font>
    <font>
      <sz val="10"/>
      <name val="MS Sans Serif"/>
      <family val="2"/>
    </font>
    <font>
      <sz val="1"/>
      <color indexed="18"/>
      <name val="Courier"/>
      <family val="3"/>
    </font>
    <font>
      <sz val="12"/>
      <name val="??????"/>
      <family val="3"/>
    </font>
    <font>
      <sz val="12"/>
      <name val="奔覆眉"/>
      <family val="3"/>
      <charset val="129"/>
    </font>
    <font>
      <sz val="11"/>
      <name val="돋?o"/>
      <family val="3"/>
      <charset val="129"/>
    </font>
    <font>
      <sz val="11"/>
      <name val="￥i￠￢￠?o"/>
      <family val="3"/>
      <charset val="129"/>
    </font>
    <font>
      <sz val="12"/>
      <name val="System"/>
      <family val="2"/>
      <charset val="129"/>
    </font>
    <font>
      <sz val="12"/>
      <name val="ⓒoUAAA¨u"/>
      <family val="1"/>
      <charset val="129"/>
    </font>
    <font>
      <sz val="10"/>
      <name val="Helv"/>
      <family val="2"/>
    </font>
    <font>
      <sz val="10"/>
      <name val="바탕체"/>
      <family val="1"/>
      <charset val="129"/>
    </font>
    <font>
      <sz val="12"/>
      <name val="굴림체"/>
      <family val="3"/>
      <charset val="129"/>
    </font>
    <font>
      <sz val="10"/>
      <color indexed="10"/>
      <name val="굴림"/>
      <family val="3"/>
      <charset val="129"/>
    </font>
    <font>
      <b/>
      <sz val="1"/>
      <color indexed="8"/>
      <name val="Courier"/>
      <family val="3"/>
    </font>
    <font>
      <sz val="10"/>
      <name val="PragmaticaCTT"/>
      <family val="1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1"/>
      <name val="바탕"/>
      <family val="1"/>
      <charset val="129"/>
    </font>
    <font>
      <sz val="12"/>
      <name val="Times New Roman"/>
      <family val="1"/>
    </font>
    <font>
      <sz val="10"/>
      <color indexed="24"/>
      <name val="MS Sans Serif"/>
      <family val="2"/>
    </font>
    <font>
      <sz val="11"/>
      <name val="ＭＳ Ｐゴシック"/>
      <family val="2"/>
      <charset val="129"/>
    </font>
    <font>
      <b/>
      <sz val="12"/>
      <name val="굴림체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0"/>
      <name val="Geneva"/>
      <family val="2"/>
    </font>
    <font>
      <sz val="12"/>
      <name val="Arial"/>
      <family val="2"/>
    </font>
    <font>
      <sz val="12"/>
      <name val="¡¾¨????÷A¨?"/>
      <family val="3"/>
      <charset val="129"/>
    </font>
    <font>
      <sz val="12"/>
      <name val="¡¾¨ù¢¬©÷A¨ù"/>
      <family val="3"/>
      <charset val="129"/>
    </font>
    <font>
      <sz val="12"/>
      <name val="±¼¸²Ã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Tms Rmn"/>
      <family val="1"/>
    </font>
    <font>
      <sz val="10"/>
      <name val="MS Serif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sz val="18"/>
      <name val="Arial"/>
      <family val="2"/>
    </font>
    <font>
      <b/>
      <i/>
      <sz val="22"/>
      <name val="Times New Roman"/>
      <family val="1"/>
    </font>
    <font>
      <u/>
      <sz val="8.4"/>
      <color indexed="12"/>
      <name val="Arial"/>
      <family val="2"/>
    </font>
    <font>
      <b/>
      <sz val="16"/>
      <name val="Times New Roman"/>
      <family val="1"/>
    </font>
    <font>
      <sz val="10"/>
      <color indexed="12"/>
      <name val="Arial"/>
      <family val="2"/>
    </font>
    <font>
      <sz val="10"/>
      <name val="Times New Roman"/>
      <family val="1"/>
    </font>
    <font>
      <b/>
      <sz val="14"/>
      <color indexed="24"/>
      <name val="Book Antiqua"/>
      <family val="1"/>
    </font>
    <font>
      <sz val="7"/>
      <name val="Small Fonts"/>
      <family val="2"/>
    </font>
    <font>
      <sz val="12"/>
      <name val="Helv"/>
      <family val="2"/>
    </font>
    <font>
      <i/>
      <sz val="14"/>
      <name val="Times New Roman"/>
      <family val="1"/>
    </font>
    <font>
      <b/>
      <sz val="22"/>
      <name val="Book Antiqua"/>
      <family val="1"/>
    </font>
    <font>
      <u val="singleAccounting"/>
      <sz val="10"/>
      <name val="Arial"/>
      <family val="2"/>
    </font>
    <font>
      <b/>
      <sz val="8"/>
      <color indexed="8"/>
      <name val="Helv"/>
      <family val="2"/>
    </font>
    <font>
      <b/>
      <sz val="11"/>
      <name val="Times New Roman"/>
      <family val="1"/>
    </font>
    <font>
      <sz val="12"/>
      <name val="ｱｼｸｲﾃｼ"/>
      <family val="3"/>
    </font>
    <font>
      <sz val="10"/>
      <color indexed="8"/>
      <name val="Arial"/>
      <family val="2"/>
    </font>
    <font>
      <sz val="10"/>
      <color indexed="8"/>
      <name val="맑은 고딕"/>
      <family val="3"/>
      <charset val="129"/>
    </font>
    <font>
      <sz val="12"/>
      <name val="???"/>
      <family val="1"/>
    </font>
    <font>
      <i/>
      <sz val="12"/>
      <name val="바탕체"/>
      <family val="1"/>
      <charset val="129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2"/>
      <name val="¸íÁ¶"/>
      <family val="3"/>
      <charset val="129"/>
    </font>
    <font>
      <sz val="12"/>
      <name val="굴림"/>
      <family val="3"/>
      <charset val="129"/>
    </font>
    <font>
      <sz val="10"/>
      <name val="¹UAAA¼"/>
      <family val="1"/>
      <charset val="129"/>
    </font>
    <font>
      <sz val="10"/>
      <name val="±¼¸²Ã¼"/>
      <family val="3"/>
      <charset val="129"/>
    </font>
    <font>
      <sz val="10"/>
      <name val="¹ÙÅÁÃ¼"/>
      <family val="1"/>
      <charset val="129"/>
    </font>
    <font>
      <sz val="10"/>
      <name val="±¼¸²A¼"/>
      <family val="3"/>
      <charset val="129"/>
    </font>
    <font>
      <sz val="8"/>
      <name val="Palatino"/>
      <family val="1"/>
    </font>
    <font>
      <i/>
      <sz val="1"/>
      <color indexed="8"/>
      <name val="Courier"/>
      <family val="3"/>
    </font>
    <font>
      <u/>
      <sz val="7.5"/>
      <color indexed="36"/>
      <name val="Arial"/>
      <family val="2"/>
    </font>
    <font>
      <sz val="7"/>
      <name val="Palatino"/>
      <family val="1"/>
    </font>
    <font>
      <b/>
      <sz val="12"/>
      <color indexed="8"/>
      <name val="Times New Roman"/>
      <family val="1"/>
    </font>
    <font>
      <b/>
      <sz val="12"/>
      <color indexed="62"/>
      <name val="Arial"/>
      <family val="2"/>
    </font>
    <font>
      <b/>
      <i/>
      <sz val="11"/>
      <name val="Arial"/>
      <family val="2"/>
    </font>
    <font>
      <i/>
      <sz val="14"/>
      <name val="Palatino"/>
      <family val="1"/>
    </font>
    <font>
      <b/>
      <sz val="12"/>
      <name val="Tms Rmn"/>
      <family val="1"/>
    </font>
    <font>
      <u/>
      <sz val="10"/>
      <color indexed="9"/>
      <name val="Arial"/>
      <family val="2"/>
    </font>
    <font>
      <u/>
      <sz val="8"/>
      <color indexed="9"/>
      <name val="Arial"/>
      <family val="2"/>
    </font>
    <font>
      <b/>
      <sz val="9"/>
      <color indexed="16"/>
      <name val="Arial"/>
      <family val="2"/>
    </font>
    <font>
      <sz val="14"/>
      <name val="–¾’©"/>
      <family val="3"/>
      <charset val="129"/>
    </font>
    <font>
      <sz val="10"/>
      <color indexed="16"/>
      <name val="Helvetica-Black"/>
      <family val="2"/>
    </font>
    <font>
      <b/>
      <u/>
      <sz val="10"/>
      <name val="Arial"/>
      <family val="2"/>
    </font>
    <font>
      <b/>
      <i/>
      <sz val="9"/>
      <color indexed="60"/>
      <name val="Arial"/>
      <family val="2"/>
    </font>
    <font>
      <b/>
      <sz val="10"/>
      <name val="Times New Roman"/>
      <family val="1"/>
    </font>
    <font>
      <b/>
      <sz val="12"/>
      <color indexed="18"/>
      <name val="Arial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u val="double"/>
      <sz val="8"/>
      <color indexed="8"/>
      <name val="Arial"/>
      <family val="2"/>
    </font>
    <font>
      <sz val="10"/>
      <color indexed="12"/>
      <name val="Times New Roman"/>
      <family val="1"/>
    </font>
    <font>
      <u/>
      <sz val="9.35"/>
      <color indexed="36"/>
      <name val="돋움"/>
      <family val="3"/>
      <charset val="129"/>
    </font>
    <font>
      <sz val="8"/>
      <color indexed="8"/>
      <name val="Arial"/>
      <family val="2"/>
    </font>
    <font>
      <sz val="14"/>
      <name val="ＭＳ 明朝"/>
      <family val="3"/>
      <charset val="129"/>
    </font>
    <font>
      <sz val="11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2"/>
      <name val="돋움체"/>
      <family val="3"/>
      <charset val="129"/>
    </font>
    <font>
      <b/>
      <u/>
      <sz val="10"/>
      <name val="돋움"/>
      <family val="3"/>
      <charset val="129"/>
    </font>
    <font>
      <u/>
      <sz val="10"/>
      <color indexed="12"/>
      <name val="돋움"/>
      <family val="3"/>
      <charset val="129"/>
    </font>
    <font>
      <sz val="12"/>
      <name val="Arial Narrow"/>
      <family val="2"/>
    </font>
    <font>
      <b/>
      <i/>
      <sz val="16"/>
      <name val="Helv"/>
      <family val="2"/>
    </font>
    <font>
      <sz val="10"/>
      <name val="Tms Rmn"/>
      <family val="1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11"/>
      <color indexed="8"/>
      <name val="맑은 고딕"/>
      <family val="3"/>
      <charset val="129"/>
    </font>
    <font>
      <b/>
      <sz val="10"/>
      <color indexed="8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</font>
    <font>
      <b/>
      <sz val="10"/>
      <color rgb="FFFA7D00"/>
      <name val="맑은 고딕"/>
      <family val="3"/>
      <charset val="129"/>
      <scheme val="minor"/>
    </font>
    <font>
      <b/>
      <sz val="9"/>
      <color rgb="FFFA7D00"/>
      <name val="맑은 고딕"/>
      <family val="3"/>
      <charset val="129"/>
      <scheme val="minor"/>
    </font>
    <font>
      <b/>
      <sz val="9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0"/>
      <color rgb="FF9C0006"/>
      <name val="맑은 고딕"/>
      <family val="3"/>
      <charset val="129"/>
      <scheme val="minor"/>
    </font>
    <font>
      <sz val="9"/>
      <color rgb="FF9C0006"/>
      <name val="맑은 고딕"/>
      <family val="3"/>
      <charset val="129"/>
      <scheme val="minor"/>
    </font>
    <font>
      <sz val="9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rgb="FF9C6500"/>
      <name val="맑은 고딕"/>
      <family val="3"/>
      <charset val="129"/>
    </font>
    <font>
      <sz val="10"/>
      <color rgb="FF9C6500"/>
      <name val="맑은 고딕"/>
      <family val="3"/>
      <charset val="129"/>
      <scheme val="minor"/>
    </font>
    <font>
      <sz val="9"/>
      <color rgb="FF9C6500"/>
      <name val="맑은 고딕"/>
      <family val="3"/>
      <charset val="129"/>
      <scheme val="minor"/>
    </font>
    <font>
      <sz val="9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0"/>
      <color rgb="FF7F7F7F"/>
      <name val="맑은 고딕"/>
      <family val="3"/>
      <charset val="129"/>
    </font>
    <font>
      <i/>
      <sz val="10"/>
      <color rgb="FF7F7F7F"/>
      <name val="맑은 고딕"/>
      <family val="3"/>
      <charset val="129"/>
      <scheme val="minor"/>
    </font>
    <font>
      <i/>
      <sz val="9"/>
      <color rgb="FF7F7F7F"/>
      <name val="맑은 고딕"/>
      <family val="3"/>
      <charset val="129"/>
      <scheme val="minor"/>
    </font>
    <font>
      <i/>
      <sz val="9"/>
      <color rgb="FF7F7F7F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0"/>
      <color rgb="FFFA7D00"/>
      <name val="맑은 고딕"/>
      <family val="3"/>
      <charset val="129"/>
    </font>
    <font>
      <sz val="10"/>
      <color rgb="FFFA7D00"/>
      <name val="맑은 고딕"/>
      <family val="3"/>
      <charset val="129"/>
      <scheme val="minor"/>
    </font>
    <font>
      <sz val="9"/>
      <color rgb="FFFA7D00"/>
      <name val="맑은 고딕"/>
      <family val="3"/>
      <charset val="129"/>
      <scheme val="minor"/>
    </font>
    <font>
      <sz val="9"/>
      <color rgb="FFFA7D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0"/>
      <color rgb="FF3F3F76"/>
      <name val="맑은 고딕"/>
      <family val="3"/>
      <charset val="129"/>
    </font>
    <font>
      <sz val="10"/>
      <color rgb="FF3F3F76"/>
      <name val="맑은 고딕"/>
      <family val="3"/>
      <charset val="129"/>
      <scheme val="minor"/>
    </font>
    <font>
      <sz val="9"/>
      <color rgb="FF3F3F76"/>
      <name val="맑은 고딕"/>
      <family val="3"/>
      <charset val="129"/>
      <scheme val="minor"/>
    </font>
    <font>
      <sz val="9"/>
      <color rgb="FF3F3F7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0"/>
      <color rgb="FF006100"/>
      <name val="맑은 고딕"/>
      <family val="3"/>
      <charset val="129"/>
    </font>
    <font>
      <sz val="10"/>
      <color rgb="FF006100"/>
      <name val="맑은 고딕"/>
      <family val="3"/>
      <charset val="129"/>
      <scheme val="minor"/>
    </font>
    <font>
      <sz val="9"/>
      <color rgb="FF006100"/>
      <name val="맑은 고딕"/>
      <family val="3"/>
      <charset val="129"/>
      <scheme val="minor"/>
    </font>
    <font>
      <sz val="9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</font>
    <font>
      <b/>
      <sz val="10"/>
      <color rgb="FF3F3F3F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  <scheme val="minor"/>
    </font>
    <font>
      <b/>
      <sz val="9"/>
      <color rgb="FF3F3F3F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C00000"/>
      <name val="돋움체"/>
      <family val="3"/>
      <charset val="129"/>
    </font>
    <font>
      <b/>
      <sz val="14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rgb="FFC00000"/>
      <name val="돋움체"/>
      <family val="3"/>
      <charset val="129"/>
    </font>
    <font>
      <sz val="10"/>
      <color theme="0" tint="-0.14999847407452621"/>
      <name val="돋움체"/>
      <family val="3"/>
      <charset val="129"/>
    </font>
  </fonts>
  <fills count="7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</patternFill>
    </fill>
    <fill>
      <patternFill patternType="solid">
        <fgColor indexed="3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/>
      <right/>
      <top style="double">
        <color indexed="16"/>
      </top>
      <bottom/>
      <diagonal/>
    </border>
    <border>
      <left/>
      <right/>
      <top style="double">
        <color indexed="16"/>
      </top>
      <bottom style="thin">
        <color indexed="1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16"/>
      </top>
      <bottom style="thin">
        <color indexed="16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5"/>
      </left>
      <right/>
      <top style="medium">
        <color indexed="64"/>
      </top>
      <bottom style="thin">
        <color indexed="64"/>
      </bottom>
      <diagonal/>
    </border>
  </borders>
  <cellStyleXfs count="2479">
    <xf numFmtId="0" fontId="0" fillId="0" borderId="0"/>
    <xf numFmtId="0" fontId="65" fillId="0" borderId="0"/>
    <xf numFmtId="0" fontId="39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24" fontId="56" fillId="0" borderId="0" applyFont="0" applyFill="0" applyBorder="0" applyAlignment="0" applyProtection="0"/>
    <xf numFmtId="192" fontId="1" fillId="0" borderId="0" applyNumberFormat="0" applyFont="0" applyFill="0" applyBorder="0" applyAlignment="0" applyProtection="0"/>
    <xf numFmtId="192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39" fillId="0" borderId="0"/>
    <xf numFmtId="193" fontId="57" fillId="0" borderId="0">
      <protection locked="0"/>
    </xf>
    <xf numFmtId="0" fontId="109" fillId="0" borderId="0" applyFont="0" applyFill="0" applyBorder="0" applyAlignment="0" applyProtection="0"/>
    <xf numFmtId="0" fontId="32" fillId="0" borderId="0"/>
    <xf numFmtId="0" fontId="32" fillId="0" borderId="0"/>
    <xf numFmtId="0" fontId="110" fillId="0" borderId="0" applyNumberFormat="0" applyFill="0" applyBorder="0" applyAlignment="0" applyProtection="0"/>
    <xf numFmtId="193" fontId="57" fillId="0" borderId="0">
      <protection locked="0"/>
    </xf>
    <xf numFmtId="193" fontId="57" fillId="0" borderId="0">
      <protection locked="0"/>
    </xf>
    <xf numFmtId="0" fontId="3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58" fillId="0" borderId="0" applyFont="0" applyFill="0" applyBorder="0" applyAlignment="0" applyProtection="0"/>
    <xf numFmtId="193" fontId="57" fillId="0" borderId="0">
      <protection locked="0"/>
    </xf>
    <xf numFmtId="193" fontId="57" fillId="0" borderId="0">
      <protection locked="0"/>
    </xf>
    <xf numFmtId="0" fontId="109" fillId="0" borderId="0" applyFont="0" applyFill="0" applyBorder="0" applyAlignment="0" applyProtection="0"/>
    <xf numFmtId="193" fontId="57" fillId="0" borderId="0">
      <protection locked="0"/>
    </xf>
    <xf numFmtId="193" fontId="57" fillId="0" borderId="0">
      <protection locked="0"/>
    </xf>
    <xf numFmtId="193" fontId="57" fillId="0" borderId="0">
      <protection locked="0"/>
    </xf>
    <xf numFmtId="0" fontId="39" fillId="0" borderId="0"/>
    <xf numFmtId="0" fontId="59" fillId="0" borderId="0"/>
    <xf numFmtId="0" fontId="60" fillId="0" borderId="0"/>
    <xf numFmtId="0" fontId="39" fillId="0" borderId="0"/>
    <xf numFmtId="0" fontId="39" fillId="0" borderId="0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231" fontId="37" fillId="2" borderId="1"/>
    <xf numFmtId="0" fontId="39" fillId="0" borderId="0"/>
    <xf numFmtId="0" fontId="61" fillId="0" borderId="0" applyFont="0" applyFill="0" applyBorder="0" applyAlignment="0" applyProtection="0"/>
    <xf numFmtId="0" fontId="62" fillId="0" borderId="0"/>
    <xf numFmtId="0" fontId="61" fillId="0" borderId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3" fillId="0" borderId="0"/>
    <xf numFmtId="0" fontId="6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94" fontId="32" fillId="0" borderId="0" applyFont="0" applyFill="0" applyBorder="0" applyAlignment="0" applyProtection="0"/>
    <xf numFmtId="0" fontId="39" fillId="0" borderId="0"/>
    <xf numFmtId="0" fontId="39" fillId="0" borderId="0"/>
    <xf numFmtId="0" fontId="6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3" borderId="0"/>
    <xf numFmtId="0" fontId="39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2" fillId="0" borderId="0"/>
    <xf numFmtId="0" fontId="39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/>
    <xf numFmtId="0" fontId="63" fillId="0" borderId="0"/>
    <xf numFmtId="0" fontId="63" fillId="0" borderId="0"/>
    <xf numFmtId="0" fontId="39" fillId="0" borderId="0"/>
    <xf numFmtId="0" fontId="63" fillId="0" borderId="0"/>
    <xf numFmtId="0" fontId="39" fillId="0" borderId="0"/>
    <xf numFmtId="0" fontId="63" fillId="0" borderId="0"/>
    <xf numFmtId="0" fontId="63" fillId="0" borderId="0"/>
    <xf numFmtId="0" fontId="63" fillId="0" borderId="0"/>
    <xf numFmtId="0" fontId="39" fillId="0" borderId="0"/>
    <xf numFmtId="0" fontId="39" fillId="0" borderId="0" applyNumberFormat="0" applyFill="0" applyBorder="0" applyAlignment="0" applyProtection="0"/>
    <xf numFmtId="0" fontId="39" fillId="0" borderId="0"/>
    <xf numFmtId="0" fontId="64" fillId="0" borderId="0"/>
    <xf numFmtId="0" fontId="39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/>
    <xf numFmtId="0" fontId="107" fillId="0" borderId="0">
      <alignment vertical="top"/>
    </xf>
    <xf numFmtId="0" fontId="63" fillId="0" borderId="0"/>
    <xf numFmtId="0" fontId="64" fillId="0" borderId="0"/>
    <xf numFmtId="0" fontId="64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93" fontId="57" fillId="0" borderId="0">
      <protection locked="0"/>
    </xf>
    <xf numFmtId="40" fontId="111" fillId="0" borderId="0" applyFont="0" applyFill="0" applyBorder="0" applyAlignment="0" applyProtection="0"/>
    <xf numFmtId="193" fontId="57" fillId="0" borderId="0">
      <protection locked="0"/>
    </xf>
    <xf numFmtId="193" fontId="57" fillId="0" borderId="0">
      <protection locked="0"/>
    </xf>
    <xf numFmtId="193" fontId="57" fillId="0" borderId="0">
      <protection locked="0"/>
    </xf>
    <xf numFmtId="193" fontId="57" fillId="0" borderId="0">
      <protection locked="0"/>
    </xf>
    <xf numFmtId="0" fontId="112" fillId="0" borderId="0"/>
    <xf numFmtId="193" fontId="57" fillId="0" borderId="0">
      <protection locked="0"/>
    </xf>
    <xf numFmtId="1" fontId="65" fillId="0" borderId="2">
      <alignment horizontal="center" vertical="center"/>
    </xf>
    <xf numFmtId="1" fontId="65" fillId="0" borderId="2">
      <alignment horizontal="center" vertical="center"/>
    </xf>
    <xf numFmtId="1" fontId="65" fillId="0" borderId="2">
      <alignment horizontal="center" vertical="center"/>
    </xf>
    <xf numFmtId="0" fontId="1" fillId="0" borderId="0"/>
    <xf numFmtId="1" fontId="65" fillId="0" borderId="2">
      <alignment horizontal="center" vertical="center"/>
    </xf>
    <xf numFmtId="1" fontId="65" fillId="0" borderId="2">
      <alignment horizontal="center" vertical="center"/>
    </xf>
    <xf numFmtId="1" fontId="65" fillId="0" borderId="2">
      <alignment horizontal="center" vertical="center"/>
    </xf>
    <xf numFmtId="1" fontId="65" fillId="0" borderId="2">
      <alignment horizontal="center" vertical="center"/>
    </xf>
    <xf numFmtId="193" fontId="57" fillId="0" borderId="0">
      <protection locked="0"/>
    </xf>
    <xf numFmtId="0" fontId="39" fillId="0" borderId="0" applyNumberFormat="0" applyFill="0" applyBorder="0" applyAlignment="0" applyProtection="0"/>
    <xf numFmtId="193" fontId="57" fillId="0" borderId="0">
      <protection locked="0"/>
    </xf>
    <xf numFmtId="10" fontId="42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4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5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35" fillId="4" borderId="0" applyNumberFormat="0" applyBorder="0" applyAlignment="0" applyProtection="0"/>
    <xf numFmtId="0" fontId="35" fillId="4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5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5" fillId="38" borderId="0" applyNumberFormat="0" applyBorder="0" applyAlignment="0" applyProtection="0">
      <alignment vertical="center"/>
    </xf>
    <xf numFmtId="0" fontId="176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7" fillId="38" borderId="0" applyNumberFormat="0" applyBorder="0" applyAlignment="0" applyProtection="0">
      <alignment vertical="center"/>
    </xf>
    <xf numFmtId="0" fontId="175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3" fillId="38" borderId="0" applyNumberFormat="0" applyBorder="0" applyAlignment="0" applyProtection="0">
      <alignment vertical="center"/>
    </xf>
    <xf numFmtId="0" fontId="175" fillId="38" borderId="0" applyNumberFormat="0" applyBorder="0" applyAlignment="0" applyProtection="0">
      <alignment vertical="center"/>
    </xf>
    <xf numFmtId="0" fontId="174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5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35" fillId="5" borderId="0" applyNumberFormat="0" applyBorder="0" applyAlignment="0" applyProtection="0"/>
    <xf numFmtId="0" fontId="35" fillId="5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5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5" fillId="39" borderId="0" applyNumberFormat="0" applyBorder="0" applyAlignment="0" applyProtection="0">
      <alignment vertical="center"/>
    </xf>
    <xf numFmtId="0" fontId="176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7" fillId="39" borderId="0" applyNumberFormat="0" applyBorder="0" applyAlignment="0" applyProtection="0">
      <alignment vertical="center"/>
    </xf>
    <xf numFmtId="0" fontId="175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3" fillId="39" borderId="0" applyNumberFormat="0" applyBorder="0" applyAlignment="0" applyProtection="0">
      <alignment vertical="center"/>
    </xf>
    <xf numFmtId="0" fontId="175" fillId="39" borderId="0" applyNumberFormat="0" applyBorder="0" applyAlignment="0" applyProtection="0">
      <alignment vertical="center"/>
    </xf>
    <xf numFmtId="0" fontId="174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5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35" fillId="6" borderId="0" applyNumberFormat="0" applyBorder="0" applyAlignment="0" applyProtection="0"/>
    <xf numFmtId="0" fontId="35" fillId="6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5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5" fillId="40" borderId="0" applyNumberFormat="0" applyBorder="0" applyAlignment="0" applyProtection="0">
      <alignment vertical="center"/>
    </xf>
    <xf numFmtId="0" fontId="176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7" fillId="40" borderId="0" applyNumberFormat="0" applyBorder="0" applyAlignment="0" applyProtection="0">
      <alignment vertical="center"/>
    </xf>
    <xf numFmtId="0" fontId="175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3" fillId="40" borderId="0" applyNumberFormat="0" applyBorder="0" applyAlignment="0" applyProtection="0">
      <alignment vertical="center"/>
    </xf>
    <xf numFmtId="0" fontId="175" fillId="40" borderId="0" applyNumberFormat="0" applyBorder="0" applyAlignment="0" applyProtection="0">
      <alignment vertical="center"/>
    </xf>
    <xf numFmtId="0" fontId="174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5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35" fillId="7" borderId="0" applyNumberFormat="0" applyBorder="0" applyAlignment="0" applyProtection="0"/>
    <xf numFmtId="0" fontId="35" fillId="7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5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5" fillId="41" borderId="0" applyNumberFormat="0" applyBorder="0" applyAlignment="0" applyProtection="0">
      <alignment vertical="center"/>
    </xf>
    <xf numFmtId="0" fontId="176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7" fillId="41" borderId="0" applyNumberFormat="0" applyBorder="0" applyAlignment="0" applyProtection="0">
      <alignment vertical="center"/>
    </xf>
    <xf numFmtId="0" fontId="175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3" fillId="41" borderId="0" applyNumberFormat="0" applyBorder="0" applyAlignment="0" applyProtection="0">
      <alignment vertical="center"/>
    </xf>
    <xf numFmtId="0" fontId="175" fillId="41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5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35" fillId="8" borderId="0" applyNumberFormat="0" applyBorder="0" applyAlignment="0" applyProtection="0"/>
    <xf numFmtId="0" fontId="35" fillId="8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5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5" fillId="42" borderId="0" applyNumberFormat="0" applyBorder="0" applyAlignment="0" applyProtection="0">
      <alignment vertical="center"/>
    </xf>
    <xf numFmtId="0" fontId="176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7" fillId="42" borderId="0" applyNumberFormat="0" applyBorder="0" applyAlignment="0" applyProtection="0">
      <alignment vertical="center"/>
    </xf>
    <xf numFmtId="0" fontId="175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3" fillId="42" borderId="0" applyNumberFormat="0" applyBorder="0" applyAlignment="0" applyProtection="0">
      <alignment vertical="center"/>
    </xf>
    <xf numFmtId="0" fontId="175" fillId="42" borderId="0" applyNumberFormat="0" applyBorder="0" applyAlignment="0" applyProtection="0">
      <alignment vertical="center"/>
    </xf>
    <xf numFmtId="0" fontId="174" fillId="42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5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35" fillId="9" borderId="0" applyNumberFormat="0" applyBorder="0" applyAlignment="0" applyProtection="0"/>
    <xf numFmtId="0" fontId="35" fillId="9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5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5" fillId="43" borderId="0" applyNumberFormat="0" applyBorder="0" applyAlignment="0" applyProtection="0">
      <alignment vertical="center"/>
    </xf>
    <xf numFmtId="0" fontId="176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7" fillId="43" borderId="0" applyNumberFormat="0" applyBorder="0" applyAlignment="0" applyProtection="0">
      <alignment vertical="center"/>
    </xf>
    <xf numFmtId="0" fontId="175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3" fillId="43" borderId="0" applyNumberFormat="0" applyBorder="0" applyAlignment="0" applyProtection="0">
      <alignment vertical="center"/>
    </xf>
    <xf numFmtId="0" fontId="175" fillId="43" borderId="0" applyNumberFormat="0" applyBorder="0" applyAlignment="0" applyProtection="0">
      <alignment vertical="center"/>
    </xf>
    <xf numFmtId="0" fontId="174" fillId="4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5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35" fillId="10" borderId="0" applyNumberFormat="0" applyBorder="0" applyAlignment="0" applyProtection="0"/>
    <xf numFmtId="0" fontId="35" fillId="10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5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5" fillId="44" borderId="0" applyNumberFormat="0" applyBorder="0" applyAlignment="0" applyProtection="0">
      <alignment vertical="center"/>
    </xf>
    <xf numFmtId="0" fontId="176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7" fillId="44" borderId="0" applyNumberFormat="0" applyBorder="0" applyAlignment="0" applyProtection="0">
      <alignment vertical="center"/>
    </xf>
    <xf numFmtId="0" fontId="175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3" fillId="44" borderId="0" applyNumberFormat="0" applyBorder="0" applyAlignment="0" applyProtection="0">
      <alignment vertical="center"/>
    </xf>
    <xf numFmtId="0" fontId="175" fillId="44" borderId="0" applyNumberFormat="0" applyBorder="0" applyAlignment="0" applyProtection="0">
      <alignment vertical="center"/>
    </xf>
    <xf numFmtId="0" fontId="174" fillId="44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35" fillId="11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6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7" fillId="45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3" fillId="45" borderId="0" applyNumberFormat="0" applyBorder="0" applyAlignment="0" applyProtection="0">
      <alignment vertical="center"/>
    </xf>
    <xf numFmtId="0" fontId="175" fillId="45" borderId="0" applyNumberFormat="0" applyBorder="0" applyAlignment="0" applyProtection="0">
      <alignment vertical="center"/>
    </xf>
    <xf numFmtId="0" fontId="174" fillId="45" borderId="0" applyNumberFormat="0" applyBorder="0" applyAlignment="0" applyProtection="0">
      <alignment vertical="center"/>
    </xf>
    <xf numFmtId="0" fontId="174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5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12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5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5" fillId="46" borderId="0" applyNumberFormat="0" applyBorder="0" applyAlignment="0" applyProtection="0">
      <alignment vertical="center"/>
    </xf>
    <xf numFmtId="0" fontId="176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7" fillId="46" borderId="0" applyNumberFormat="0" applyBorder="0" applyAlignment="0" applyProtection="0">
      <alignment vertical="center"/>
    </xf>
    <xf numFmtId="0" fontId="175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3" fillId="46" borderId="0" applyNumberFormat="0" applyBorder="0" applyAlignment="0" applyProtection="0">
      <alignment vertical="center"/>
    </xf>
    <xf numFmtId="0" fontId="175" fillId="46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35" fillId="7" borderId="0" applyNumberFormat="0" applyBorder="0" applyAlignment="0" applyProtection="0"/>
    <xf numFmtId="0" fontId="35" fillId="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6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7" fillId="47" borderId="0" applyNumberFormat="0" applyBorder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3" fillId="47" borderId="0" applyNumberFormat="0" applyBorder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4" fillId="47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5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35" fillId="10" borderId="0" applyNumberFormat="0" applyBorder="0" applyAlignment="0" applyProtection="0"/>
    <xf numFmtId="0" fontId="35" fillId="10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5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5" fillId="48" borderId="0" applyNumberFormat="0" applyBorder="0" applyAlignment="0" applyProtection="0">
      <alignment vertical="center"/>
    </xf>
    <xf numFmtId="0" fontId="176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7" fillId="48" borderId="0" applyNumberFormat="0" applyBorder="0" applyAlignment="0" applyProtection="0">
      <alignment vertical="center"/>
    </xf>
    <xf numFmtId="0" fontId="175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3" fillId="48" borderId="0" applyNumberFormat="0" applyBorder="0" applyAlignment="0" applyProtection="0">
      <alignment vertical="center"/>
    </xf>
    <xf numFmtId="0" fontId="175" fillId="48" borderId="0" applyNumberFormat="0" applyBorder="0" applyAlignment="0" applyProtection="0">
      <alignment vertical="center"/>
    </xf>
    <xf numFmtId="0" fontId="174" fillId="48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35" fillId="13" borderId="0" applyNumberFormat="0" applyBorder="0" applyAlignment="0" applyProtection="0"/>
    <xf numFmtId="0" fontId="35" fillId="13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6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7" fillId="49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3" fillId="49" borderId="0" applyNumberFormat="0" applyBorder="0" applyAlignment="0" applyProtection="0">
      <alignment vertical="center"/>
    </xf>
    <xf numFmtId="0" fontId="175" fillId="49" borderId="0" applyNumberFormat="0" applyBorder="0" applyAlignment="0" applyProtection="0">
      <alignment vertical="center"/>
    </xf>
    <xf numFmtId="0" fontId="174" fillId="4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9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55" fillId="14" borderId="0" applyNumberFormat="0" applyBorder="0" applyAlignment="0" applyProtection="0"/>
    <xf numFmtId="0" fontId="155" fillId="14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9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9" fillId="50" borderId="0" applyNumberFormat="0" applyBorder="0" applyAlignment="0" applyProtection="0">
      <alignment vertical="center"/>
    </xf>
    <xf numFmtId="0" fontId="180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81" fillId="50" borderId="0" applyNumberFormat="0" applyBorder="0" applyAlignment="0" applyProtection="0">
      <alignment vertical="center"/>
    </xf>
    <xf numFmtId="0" fontId="179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8" fillId="50" borderId="0" applyNumberFormat="0" applyBorder="0" applyAlignment="0" applyProtection="0">
      <alignment vertical="center"/>
    </xf>
    <xf numFmtId="0" fontId="179" fillId="50" borderId="0" applyNumberFormat="0" applyBorder="0" applyAlignment="0" applyProtection="0">
      <alignment vertical="center"/>
    </xf>
    <xf numFmtId="0" fontId="182" fillId="50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9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55" fillId="11" borderId="0" applyNumberFormat="0" applyBorder="0" applyAlignment="0" applyProtection="0"/>
    <xf numFmtId="0" fontId="155" fillId="1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9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9" fillId="51" borderId="0" applyNumberFormat="0" applyBorder="0" applyAlignment="0" applyProtection="0">
      <alignment vertical="center"/>
    </xf>
    <xf numFmtId="0" fontId="180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81" fillId="51" borderId="0" applyNumberFormat="0" applyBorder="0" applyAlignment="0" applyProtection="0">
      <alignment vertical="center"/>
    </xf>
    <xf numFmtId="0" fontId="179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8" fillId="51" borderId="0" applyNumberFormat="0" applyBorder="0" applyAlignment="0" applyProtection="0">
      <alignment vertical="center"/>
    </xf>
    <xf numFmtId="0" fontId="179" fillId="51" borderId="0" applyNumberFormat="0" applyBorder="0" applyAlignment="0" applyProtection="0">
      <alignment vertical="center"/>
    </xf>
    <xf numFmtId="0" fontId="182" fillId="51" borderId="0" applyNumberFormat="0" applyBorder="0" applyAlignment="0" applyProtection="0">
      <alignment vertical="center"/>
    </xf>
    <xf numFmtId="0" fontId="182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9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55" fillId="12" borderId="0" applyNumberFormat="0" applyBorder="0" applyAlignment="0" applyProtection="0"/>
    <xf numFmtId="0" fontId="155" fillId="1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9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9" fillId="52" borderId="0" applyNumberFormat="0" applyBorder="0" applyAlignment="0" applyProtection="0">
      <alignment vertical="center"/>
    </xf>
    <xf numFmtId="0" fontId="180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81" fillId="52" borderId="0" applyNumberFormat="0" applyBorder="0" applyAlignment="0" applyProtection="0">
      <alignment vertical="center"/>
    </xf>
    <xf numFmtId="0" fontId="179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8" fillId="52" borderId="0" applyNumberFormat="0" applyBorder="0" applyAlignment="0" applyProtection="0">
      <alignment vertical="center"/>
    </xf>
    <xf numFmtId="0" fontId="179" fillId="52" borderId="0" applyNumberFormat="0" applyBorder="0" applyAlignment="0" applyProtection="0">
      <alignment vertical="center"/>
    </xf>
    <xf numFmtId="0" fontId="182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9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55" fillId="15" borderId="0" applyNumberFormat="0" applyBorder="0" applyAlignment="0" applyProtection="0"/>
    <xf numFmtId="0" fontId="155" fillId="15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9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9" fillId="53" borderId="0" applyNumberFormat="0" applyBorder="0" applyAlignment="0" applyProtection="0">
      <alignment vertical="center"/>
    </xf>
    <xf numFmtId="0" fontId="180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81" fillId="53" borderId="0" applyNumberFormat="0" applyBorder="0" applyAlignment="0" applyProtection="0">
      <alignment vertical="center"/>
    </xf>
    <xf numFmtId="0" fontId="179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8" fillId="53" borderId="0" applyNumberFormat="0" applyBorder="0" applyAlignment="0" applyProtection="0">
      <alignment vertical="center"/>
    </xf>
    <xf numFmtId="0" fontId="179" fillId="53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9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55" fillId="16" borderId="0" applyNumberFormat="0" applyBorder="0" applyAlignment="0" applyProtection="0"/>
    <xf numFmtId="0" fontId="155" fillId="16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9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9" fillId="54" borderId="0" applyNumberFormat="0" applyBorder="0" applyAlignment="0" applyProtection="0">
      <alignment vertical="center"/>
    </xf>
    <xf numFmtId="0" fontId="180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81" fillId="54" borderId="0" applyNumberFormat="0" applyBorder="0" applyAlignment="0" applyProtection="0">
      <alignment vertical="center"/>
    </xf>
    <xf numFmtId="0" fontId="179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8" fillId="54" borderId="0" applyNumberFormat="0" applyBorder="0" applyAlignment="0" applyProtection="0">
      <alignment vertical="center"/>
    </xf>
    <xf numFmtId="0" fontId="179" fillId="54" borderId="0" applyNumberFormat="0" applyBorder="0" applyAlignment="0" applyProtection="0">
      <alignment vertical="center"/>
    </xf>
    <xf numFmtId="0" fontId="182" fillId="54" borderId="0" applyNumberFormat="0" applyBorder="0" applyAlignment="0" applyProtection="0">
      <alignment vertical="center"/>
    </xf>
    <xf numFmtId="0" fontId="182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9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55" fillId="17" borderId="0" applyNumberFormat="0" applyBorder="0" applyAlignment="0" applyProtection="0"/>
    <xf numFmtId="0" fontId="155" fillId="17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9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9" fillId="55" borderId="0" applyNumberFormat="0" applyBorder="0" applyAlignment="0" applyProtection="0">
      <alignment vertical="center"/>
    </xf>
    <xf numFmtId="0" fontId="180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81" fillId="55" borderId="0" applyNumberFormat="0" applyBorder="0" applyAlignment="0" applyProtection="0">
      <alignment vertical="center"/>
    </xf>
    <xf numFmtId="0" fontId="179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8" fillId="55" borderId="0" applyNumberFormat="0" applyBorder="0" applyAlignment="0" applyProtection="0">
      <alignment vertical="center"/>
    </xf>
    <xf numFmtId="0" fontId="179" fillId="55" borderId="0" applyNumberFormat="0" applyBorder="0" applyAlignment="0" applyProtection="0">
      <alignment vertical="center"/>
    </xf>
    <xf numFmtId="0" fontId="66" fillId="0" borderId="3">
      <alignment vertical="center"/>
    </xf>
    <xf numFmtId="0" fontId="66" fillId="0" borderId="3">
      <alignment vertical="center"/>
    </xf>
    <xf numFmtId="0" fontId="66" fillId="0" borderId="3">
      <alignment vertical="center"/>
    </xf>
    <xf numFmtId="0" fontId="6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93" fontId="57" fillId="0" borderId="0">
      <protection locked="0"/>
    </xf>
    <xf numFmtId="193" fontId="57" fillId="0" borderId="0">
      <protection locked="0"/>
    </xf>
    <xf numFmtId="42" fontId="79" fillId="0" borderId="0" applyFont="0" applyFill="0" applyBorder="0" applyAlignment="0" applyProtection="0"/>
    <xf numFmtId="237" fontId="113" fillId="0" borderId="0" applyFont="0" applyFill="0" applyBorder="0" applyAlignment="0" applyProtection="0"/>
    <xf numFmtId="185" fontId="42" fillId="0" borderId="0" applyFont="0" applyFill="0" applyBorder="0" applyAlignment="0" applyProtection="0"/>
    <xf numFmtId="209" fontId="39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210" fontId="42" fillId="0" borderId="0" applyFont="0" applyFill="0" applyBorder="0" applyAlignment="0" applyProtection="0"/>
    <xf numFmtId="210" fontId="80" fillId="0" borderId="0" applyFont="0" applyFill="0" applyBorder="0" applyAlignment="0" applyProtection="0"/>
    <xf numFmtId="211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204" fontId="42" fillId="0" borderId="0" applyFont="0" applyFill="0" applyBorder="0" applyAlignment="0" applyProtection="0"/>
    <xf numFmtId="204" fontId="80" fillId="0" borderId="0" applyFont="0" applyFill="0" applyBorder="0" applyAlignment="0" applyProtection="0"/>
    <xf numFmtId="212" fontId="81" fillId="0" borderId="0" applyFont="0" applyFill="0" applyBorder="0" applyAlignment="0" applyProtection="0"/>
    <xf numFmtId="212" fontId="81" fillId="0" borderId="0" applyFont="0" applyFill="0" applyBorder="0" applyAlignment="0" applyProtection="0"/>
    <xf numFmtId="213" fontId="81" fillId="0" borderId="0" applyFont="0" applyFill="0" applyBorder="0" applyAlignment="0" applyProtection="0"/>
    <xf numFmtId="213" fontId="81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80" fillId="0" borderId="0" applyFont="0" applyFill="0" applyBorder="0" applyAlignment="0" applyProtection="0"/>
    <xf numFmtId="238" fontId="114" fillId="0" borderId="0" applyFont="0" applyFill="0" applyBorder="0" applyAlignment="0" applyProtection="0"/>
    <xf numFmtId="193" fontId="57" fillId="0" borderId="0">
      <protection locked="0"/>
    </xf>
    <xf numFmtId="44" fontId="79" fillId="0" borderId="0" applyFont="0" applyFill="0" applyBorder="0" applyAlignment="0" applyProtection="0"/>
    <xf numFmtId="193" fontId="57" fillId="0" borderId="0">
      <protection locked="0"/>
    </xf>
    <xf numFmtId="186" fontId="42" fillId="0" borderId="0" applyFont="0" applyFill="0" applyBorder="0" applyAlignment="0" applyProtection="0"/>
    <xf numFmtId="214" fontId="39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211" fontId="56" fillId="0" borderId="0" applyFont="0" applyFill="0" applyBorder="0" applyAlignment="0" applyProtection="0"/>
    <xf numFmtId="211" fontId="56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0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215" fontId="42" fillId="0" borderId="0" applyFont="0" applyFill="0" applyBorder="0" applyAlignment="0" applyProtection="0"/>
    <xf numFmtId="215" fontId="80" fillId="0" borderId="0" applyFont="0" applyFill="0" applyBorder="0" applyAlignment="0" applyProtection="0"/>
    <xf numFmtId="204" fontId="56" fillId="0" borderId="0" applyFont="0" applyFill="0" applyBorder="0" applyAlignment="0" applyProtection="0"/>
    <xf numFmtId="204" fontId="56" fillId="0" borderId="0" applyFont="0" applyFill="0" applyBorder="0" applyAlignment="0" applyProtection="0"/>
    <xf numFmtId="205" fontId="42" fillId="0" borderId="0" applyFont="0" applyFill="0" applyBorder="0" applyAlignment="0" applyProtection="0"/>
    <xf numFmtId="205" fontId="80" fillId="0" borderId="0" applyFont="0" applyFill="0" applyBorder="0" applyAlignment="0" applyProtection="0"/>
    <xf numFmtId="216" fontId="81" fillId="0" borderId="0" applyFont="0" applyFill="0" applyBorder="0" applyAlignment="0" applyProtection="0"/>
    <xf numFmtId="216" fontId="81" fillId="0" borderId="0" applyFont="0" applyFill="0" applyBorder="0" applyAlignment="0" applyProtection="0"/>
    <xf numFmtId="217" fontId="81" fillId="0" borderId="0" applyFont="0" applyFill="0" applyBorder="0" applyAlignment="0" applyProtection="0"/>
    <xf numFmtId="217" fontId="81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186" fontId="42" fillId="0" borderId="0" applyFont="0" applyFill="0" applyBorder="0" applyAlignment="0" applyProtection="0"/>
    <xf numFmtId="186" fontId="80" fillId="0" borderId="0" applyFont="0" applyFill="0" applyBorder="0" applyAlignment="0" applyProtection="0"/>
    <xf numFmtId="0" fontId="56" fillId="0" borderId="0"/>
    <xf numFmtId="0" fontId="3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93" fontId="57" fillId="0" borderId="0">
      <protection locked="0"/>
    </xf>
    <xf numFmtId="193" fontId="57" fillId="0" borderId="0">
      <protection locked="0"/>
    </xf>
    <xf numFmtId="183" fontId="115" fillId="0" borderId="0" applyFont="0" applyFill="0" applyBorder="0" applyAlignment="0" applyProtection="0"/>
    <xf numFmtId="183" fontId="85" fillId="0" borderId="0" applyFont="0" applyFill="0" applyBorder="0" applyAlignment="0" applyProtection="0"/>
    <xf numFmtId="183" fontId="42" fillId="0" borderId="0" applyFont="0" applyFill="0" applyBorder="0" applyAlignment="0" applyProtection="0"/>
    <xf numFmtId="193" fontId="57" fillId="0" borderId="0">
      <protection locked="0"/>
    </xf>
    <xf numFmtId="183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0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38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218" fontId="42" fillId="0" borderId="0" applyFont="0" applyFill="0" applyBorder="0" applyAlignment="0" applyProtection="0"/>
    <xf numFmtId="218" fontId="80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41" fontId="81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80" fillId="0" borderId="0" applyFont="0" applyFill="0" applyBorder="0" applyAlignment="0" applyProtection="0"/>
    <xf numFmtId="193" fontId="57" fillId="0" borderId="0">
      <protection locked="0"/>
    </xf>
    <xf numFmtId="184" fontId="115" fillId="0" borderId="0" applyFont="0" applyFill="0" applyBorder="0" applyAlignment="0" applyProtection="0"/>
    <xf numFmtId="193" fontId="57" fillId="0" borderId="0">
      <protection locked="0"/>
    </xf>
    <xf numFmtId="184" fontId="42" fillId="0" borderId="0" applyFont="0" applyFill="0" applyBorder="0" applyAlignment="0" applyProtection="0"/>
    <xf numFmtId="219" fontId="39" fillId="0" borderId="0" applyFont="0" applyFill="0" applyBorder="0" applyAlignment="0" applyProtection="0"/>
    <xf numFmtId="220" fontId="42" fillId="0" borderId="0" applyFont="0" applyFill="0" applyBorder="0" applyAlignment="0" applyProtection="0"/>
    <xf numFmtId="193" fontId="57" fillId="0" borderId="0">
      <protection locked="0"/>
    </xf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40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0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80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0" fontId="81" fillId="0" borderId="0" applyFont="0" applyFill="0" applyBorder="0" applyAlignment="0" applyProtection="0"/>
    <xf numFmtId="40" fontId="81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184" fontId="42" fillId="0" borderId="0" applyFont="0" applyFill="0" applyBorder="0" applyAlignment="0" applyProtection="0"/>
    <xf numFmtId="184" fontId="80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22" fillId="5" borderId="0" applyNumberFormat="0" applyBorder="0" applyAlignment="0" applyProtection="0">
      <alignment vertical="center"/>
    </xf>
    <xf numFmtId="179" fontId="66" fillId="0" borderId="0">
      <alignment horizontal="right"/>
      <protection locked="0"/>
    </xf>
    <xf numFmtId="0" fontId="97" fillId="0" borderId="0"/>
    <xf numFmtId="221" fontId="1" fillId="0" borderId="0" applyFont="0" applyFill="0" applyBorder="0" applyAlignment="0" applyProtection="0"/>
    <xf numFmtId="0" fontId="83" fillId="0" borderId="0"/>
    <xf numFmtId="0" fontId="84" fillId="0" borderId="0"/>
    <xf numFmtId="193" fontId="57" fillId="0" borderId="0">
      <protection locked="0"/>
    </xf>
    <xf numFmtId="0" fontId="79" fillId="0" borderId="0"/>
    <xf numFmtId="0" fontId="116" fillId="0" borderId="0"/>
    <xf numFmtId="0" fontId="115" fillId="0" borderId="0"/>
    <xf numFmtId="0" fontId="117" fillId="0" borderId="0"/>
    <xf numFmtId="0" fontId="43" fillId="0" borderId="0"/>
    <xf numFmtId="0" fontId="80" fillId="0" borderId="0"/>
    <xf numFmtId="0" fontId="43" fillId="0" borderId="0"/>
    <xf numFmtId="0" fontId="85" fillId="0" borderId="0"/>
    <xf numFmtId="0" fontId="43" fillId="0" borderId="0"/>
    <xf numFmtId="0" fontId="85" fillId="0" borderId="0"/>
    <xf numFmtId="0" fontId="62" fillId="0" borderId="0"/>
    <xf numFmtId="0" fontId="80" fillId="0" borderId="0"/>
    <xf numFmtId="0" fontId="42" fillId="0" borderId="0"/>
    <xf numFmtId="193" fontId="57" fillId="0" borderId="0">
      <protection locked="0"/>
    </xf>
    <xf numFmtId="0" fontId="42" fillId="0" borderId="0"/>
    <xf numFmtId="0" fontId="80" fillId="0" borderId="0"/>
    <xf numFmtId="0" fontId="87" fillId="0" borderId="0"/>
    <xf numFmtId="0" fontId="86" fillId="0" borderId="0"/>
    <xf numFmtId="0" fontId="56" fillId="0" borderId="0"/>
    <xf numFmtId="0" fontId="56" fillId="0" borderId="0"/>
    <xf numFmtId="0" fontId="42" fillId="0" borderId="0"/>
    <xf numFmtId="0" fontId="80" fillId="0" borderId="0"/>
    <xf numFmtId="0" fontId="42" fillId="0" borderId="0"/>
    <xf numFmtId="0" fontId="80" fillId="0" borderId="0"/>
    <xf numFmtId="0" fontId="42" fillId="0" borderId="0"/>
    <xf numFmtId="0" fontId="80" fillId="0" borderId="0"/>
    <xf numFmtId="0" fontId="79" fillId="0" borderId="0"/>
    <xf numFmtId="0" fontId="41" fillId="0" borderId="0"/>
    <xf numFmtId="222" fontId="64" fillId="0" borderId="0"/>
    <xf numFmtId="222" fontId="64" fillId="0" borderId="0"/>
    <xf numFmtId="0" fontId="43" fillId="0" borderId="0"/>
    <xf numFmtId="0" fontId="85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7" fillId="0" borderId="0"/>
    <xf numFmtId="0" fontId="86" fillId="0" borderId="0"/>
    <xf numFmtId="0" fontId="118" fillId="0" borderId="0"/>
    <xf numFmtId="0" fontId="116" fillId="0" borderId="0"/>
    <xf numFmtId="0" fontId="118" fillId="0" borderId="0"/>
    <xf numFmtId="0" fontId="116" fillId="0" borderId="0"/>
    <xf numFmtId="0" fontId="118" fillId="0" borderId="0"/>
    <xf numFmtId="0" fontId="116" fillId="0" borderId="0"/>
    <xf numFmtId="0" fontId="1" fillId="0" borderId="0" applyFill="0" applyBorder="0" applyAlignment="0"/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1" fillId="22" borderId="4" applyNumberFormat="0" applyAlignment="0" applyProtection="0">
      <alignment vertical="center"/>
    </xf>
    <xf numFmtId="223" fontId="1" fillId="23" borderId="0" applyNumberFormat="0" applyFont="0" applyBorder="0" applyAlignment="0">
      <protection locked="0"/>
    </xf>
    <xf numFmtId="0" fontId="44" fillId="0" borderId="0"/>
    <xf numFmtId="0" fontId="25" fillId="24" borderId="5" applyNumberFormat="0" applyAlignment="0" applyProtection="0">
      <alignment vertical="center"/>
    </xf>
    <xf numFmtId="4" fontId="70" fillId="0" borderId="0">
      <protection locked="0"/>
    </xf>
    <xf numFmtId="37" fontId="88" fillId="0" borderId="0"/>
    <xf numFmtId="37" fontId="88" fillId="0" borderId="0"/>
    <xf numFmtId="37" fontId="88" fillId="0" borderId="0"/>
    <xf numFmtId="37" fontId="88" fillId="0" borderId="0"/>
    <xf numFmtId="37" fontId="88" fillId="0" borderId="0"/>
    <xf numFmtId="37" fontId="88" fillId="0" borderId="0"/>
    <xf numFmtId="37" fontId="88" fillId="0" borderId="0"/>
    <xf numFmtId="37" fontId="88" fillId="0" borderId="0"/>
    <xf numFmtId="3" fontId="56" fillId="0" borderId="0" applyFont="0" applyFill="0" applyBorder="0" applyAlignment="0" applyProtection="0"/>
    <xf numFmtId="239" fontId="119" fillId="0" borderId="0" applyFont="0" applyFill="0" applyBorder="0" applyAlignment="0" applyProtection="0">
      <alignment horizontal="right"/>
    </xf>
    <xf numFmtId="240" fontId="119" fillId="0" borderId="0" applyFont="0" applyFill="0" applyBorder="0" applyAlignment="0" applyProtection="0">
      <alignment horizontal="right"/>
    </xf>
    <xf numFmtId="187" fontId="1" fillId="0" borderId="0"/>
    <xf numFmtId="193" fontId="57" fillId="0" borderId="0">
      <protection locked="0"/>
    </xf>
    <xf numFmtId="224" fontId="1" fillId="0" borderId="0" applyFont="0" applyFill="0" applyBorder="0" applyAlignment="0" applyProtection="0"/>
    <xf numFmtId="0" fontId="89" fillId="0" borderId="0" applyNumberFormat="0" applyAlignment="0">
      <alignment horizontal="left"/>
    </xf>
    <xf numFmtId="225" fontId="8" fillId="0" borderId="0">
      <protection locked="0"/>
    </xf>
    <xf numFmtId="205" fontId="56" fillId="0" borderId="0" applyFont="0" applyFill="0" applyBorder="0" applyAlignment="0" applyProtection="0"/>
    <xf numFmtId="241" fontId="119" fillId="0" borderId="0" applyFont="0" applyFill="0" applyBorder="0" applyAlignment="0" applyProtection="0">
      <alignment horizontal="right"/>
    </xf>
    <xf numFmtId="242" fontId="119" fillId="0" borderId="0" applyFont="0" applyFill="0" applyBorder="0" applyAlignment="0" applyProtection="0">
      <alignment horizontal="right"/>
    </xf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266" fontId="1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76" fontId="32" fillId="0" borderId="6" applyFill="0" applyBorder="0" applyAlignment="0"/>
    <xf numFmtId="193" fontId="57" fillId="0" borderId="0">
      <protection locked="0"/>
    </xf>
    <xf numFmtId="226" fontId="1" fillId="0" borderId="0" applyFont="0" applyFill="0" applyBorder="0" applyAlignment="0" applyProtection="0"/>
    <xf numFmtId="0" fontId="1" fillId="0" borderId="0"/>
    <xf numFmtId="227" fontId="8" fillId="0" borderId="0">
      <protection locked="0"/>
    </xf>
    <xf numFmtId="243" fontId="119" fillId="0" borderId="0" applyFont="0" applyFill="0" applyBorder="0" applyAlignment="0" applyProtection="0"/>
    <xf numFmtId="0" fontId="82" fillId="0" borderId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244" fontId="39" fillId="0" borderId="0"/>
    <xf numFmtId="188" fontId="1" fillId="0" borderId="0"/>
    <xf numFmtId="245" fontId="119" fillId="0" borderId="7" applyNumberFormat="0" applyFont="0" applyFill="0" applyAlignment="0" applyProtection="0"/>
    <xf numFmtId="212" fontId="90" fillId="0" borderId="0" applyFill="0" applyBorder="0" applyAlignment="0" applyProtection="0"/>
    <xf numFmtId="0" fontId="91" fillId="0" borderId="0" applyNumberFormat="0" applyAlignment="0">
      <alignment horizontal="left"/>
    </xf>
    <xf numFmtId="189" fontId="1" fillId="0" borderId="0" applyFont="0" applyFill="0" applyBorder="0" applyAlignment="0" applyProtection="0"/>
    <xf numFmtId="189" fontId="3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70" fillId="0" borderId="0">
      <protection locked="0"/>
    </xf>
    <xf numFmtId="0" fontId="70" fillId="0" borderId="0">
      <protection locked="0"/>
    </xf>
    <xf numFmtId="0" fontId="12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20" fillId="0" borderId="0">
      <protection locked="0"/>
    </xf>
    <xf numFmtId="228" fontId="8" fillId="0" borderId="0"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Fill="0" applyBorder="0" applyProtection="0">
      <alignment horizontal="left"/>
    </xf>
    <xf numFmtId="0" fontId="28" fillId="6" borderId="0" applyNumberFormat="0" applyBorder="0" applyAlignment="0" applyProtection="0">
      <alignment vertical="center"/>
    </xf>
    <xf numFmtId="38" fontId="45" fillId="3" borderId="0" applyNumberFormat="0" applyBorder="0" applyAlignment="0" applyProtection="0"/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0" fontId="123" fillId="0" borderId="8">
      <alignment horizontal="left" vertical="center"/>
      <protection locked="0"/>
    </xf>
    <xf numFmtId="246" fontId="119" fillId="0" borderId="0" applyFont="0" applyFill="0" applyBorder="0" applyAlignment="0" applyProtection="0">
      <alignment horizontal="right"/>
    </xf>
    <xf numFmtId="0" fontId="47" fillId="0" borderId="0" applyNumberFormat="0" applyBorder="0"/>
    <xf numFmtId="0" fontId="124" fillId="0" borderId="9" applyNumberFormat="0" applyBorder="0"/>
    <xf numFmtId="0" fontId="125" fillId="0" borderId="0"/>
    <xf numFmtId="0" fontId="46" fillId="0" borderId="0">
      <alignment horizontal="left"/>
    </xf>
    <xf numFmtId="0" fontId="47" fillId="0" borderId="10" applyNumberFormat="0" applyAlignment="0" applyProtection="0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0" fontId="47" fillId="0" borderId="11">
      <alignment horizontal="left" vertical="center"/>
    </xf>
    <xf numFmtId="14" fontId="48" fillId="25" borderId="3">
      <alignment horizontal="center" vertical="center" wrapText="1"/>
    </xf>
    <xf numFmtId="0" fontId="9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26" fillId="0" borderId="0" applyProtection="0">
      <alignment horizontal="left"/>
    </xf>
    <xf numFmtId="0" fontId="27" fillId="0" borderId="0" applyNumberFormat="0" applyFill="0" applyBorder="0" applyAlignment="0" applyProtection="0">
      <alignment vertical="center"/>
    </xf>
    <xf numFmtId="0" fontId="127" fillId="0" borderId="0"/>
    <xf numFmtId="14" fontId="48" fillId="25" borderId="3">
      <alignment horizontal="center" vertical="center" wrapText="1"/>
    </xf>
    <xf numFmtId="229" fontId="8" fillId="0" borderId="0">
      <protection locked="0"/>
    </xf>
    <xf numFmtId="229" fontId="8" fillId="0" borderId="0">
      <protection locked="0"/>
    </xf>
    <xf numFmtId="0" fontId="93" fillId="0" borderId="12" applyNumberFormat="0" applyFill="0" applyBorder="0" applyAlignment="0" applyProtection="0">
      <alignment horizontal="left"/>
    </xf>
    <xf numFmtId="0" fontId="94" fillId="0" borderId="0" applyNumberFormat="0" applyFill="0" applyBorder="0" applyAlignment="0" applyProtection="0">
      <alignment vertical="top"/>
      <protection locked="0"/>
    </xf>
    <xf numFmtId="0" fontId="95" fillId="26" borderId="9" applyNumberFormat="0" applyFont="0" applyBorder="0" applyAlignment="0">
      <alignment horizontal="center"/>
      <protection locked="0"/>
    </xf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10" fontId="45" fillId="27" borderId="6" applyNumberFormat="0" applyBorder="0" applyAlignment="0" applyProtection="0"/>
    <xf numFmtId="0" fontId="96" fillId="0" borderId="0" applyNumberFormat="0" applyFill="0" applyBorder="0" applyAlignment="0">
      <protection locked="0"/>
    </xf>
    <xf numFmtId="200" fontId="32" fillId="0" borderId="0">
      <alignment vertical="center"/>
    </xf>
    <xf numFmtId="0" fontId="97" fillId="0" borderId="0" applyNumberFormat="0" applyFont="0" applyFill="0" applyBorder="0" applyProtection="0">
      <alignment horizontal="left" vertical="center"/>
    </xf>
    <xf numFmtId="0" fontId="26" fillId="0" borderId="13" applyNumberFormat="0" applyFill="0" applyAlignment="0" applyProtection="0">
      <alignment vertical="center"/>
    </xf>
    <xf numFmtId="38" fontId="128" fillId="28" borderId="0">
      <alignment horizontal="left" indent="1"/>
    </xf>
    <xf numFmtId="247" fontId="119" fillId="0" borderId="0" applyFont="0" applyFill="0" applyBorder="0" applyAlignment="0" applyProtection="0"/>
    <xf numFmtId="182" fontId="119" fillId="0" borderId="0" applyFont="0" applyFill="0" applyBorder="0" applyAlignment="0" applyProtection="0"/>
    <xf numFmtId="230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98" fillId="29" borderId="14">
      <alignment horizontal="left" vertical="top" indent="2"/>
    </xf>
    <xf numFmtId="0" fontId="49" fillId="0" borderId="3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31" fontId="1" fillId="0" borderId="0" applyFont="0" applyFill="0" applyBorder="0" applyAlignment="0" applyProtection="0"/>
    <xf numFmtId="232" fontId="1" fillId="0" borderId="0" applyFont="0" applyFill="0" applyBorder="0" applyAlignment="0" applyProtection="0"/>
    <xf numFmtId="0" fontId="129" fillId="30" borderId="9"/>
    <xf numFmtId="0" fontId="23" fillId="31" borderId="0" applyNumberFormat="0" applyBorder="0" applyAlignment="0" applyProtection="0">
      <alignment vertical="center"/>
    </xf>
    <xf numFmtId="37" fontId="99" fillId="0" borderId="0"/>
    <xf numFmtId="0" fontId="32" fillId="0" borderId="0"/>
    <xf numFmtId="190" fontId="32" fillId="0" borderId="0"/>
    <xf numFmtId="0" fontId="1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8" fillId="0" borderId="0"/>
    <xf numFmtId="193" fontId="57" fillId="0" borderId="0">
      <protection locked="0"/>
    </xf>
    <xf numFmtId="0" fontId="97" fillId="0" borderId="0" applyFont="0" applyFill="0" applyBorder="0" applyAlignment="0" applyProtection="0">
      <alignment horizontal="centerContinuous"/>
    </xf>
    <xf numFmtId="0" fontId="97" fillId="0" borderId="0" applyFont="0" applyFill="0" applyBorder="0" applyAlignment="0" applyProtection="0">
      <alignment horizontal="centerContinuous"/>
    </xf>
    <xf numFmtId="0" fontId="97" fillId="0" borderId="0" applyFont="0" applyFill="0" applyBorder="0" applyAlignment="0" applyProtection="0">
      <alignment horizontal="centerContinuous"/>
    </xf>
    <xf numFmtId="0" fontId="1" fillId="0" borderId="0" applyFont="0" applyFill="0" applyBorder="0" applyAlignment="0" applyProtection="0">
      <alignment horizontal="centerContinuous"/>
    </xf>
    <xf numFmtId="248" fontId="1" fillId="0" borderId="0"/>
    <xf numFmtId="0" fontId="130" fillId="0" borderId="15">
      <alignment vertical="top" wrapText="1"/>
    </xf>
    <xf numFmtId="0" fontId="130" fillId="0" borderId="16">
      <alignment vertical="top" wrapText="1"/>
    </xf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40" fontId="131" fillId="0" borderId="0" applyFont="0" applyFill="0" applyBorder="0" applyAlignment="0" applyProtection="0"/>
    <xf numFmtId="38" fontId="131" fillId="0" borderId="0" applyFont="0" applyFill="0" applyBorder="0" applyAlignment="0" applyProtection="0"/>
    <xf numFmtId="0" fontId="39" fillId="0" borderId="0"/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0" fontId="29" fillId="22" borderId="17" applyNumberFormat="0" applyAlignment="0" applyProtection="0">
      <alignment vertical="center"/>
    </xf>
    <xf numFmtId="40" fontId="50" fillId="29" borderId="0">
      <alignment horizontal="right"/>
    </xf>
    <xf numFmtId="0" fontId="51" fillId="29" borderId="0">
      <alignment horizontal="right"/>
    </xf>
    <xf numFmtId="0" fontId="52" fillId="29" borderId="18"/>
    <xf numFmtId="0" fontId="52" fillId="29" borderId="18"/>
    <xf numFmtId="0" fontId="52" fillId="29" borderId="18"/>
    <xf numFmtId="0" fontId="52" fillId="0" borderId="0" applyBorder="0">
      <alignment horizontal="centerContinuous"/>
    </xf>
    <xf numFmtId="0" fontId="53" fillId="0" borderId="0" applyBorder="0">
      <alignment horizontal="centerContinuous"/>
    </xf>
    <xf numFmtId="1" fontId="132" fillId="0" borderId="0" applyProtection="0">
      <alignment horizontal="right" vertical="center"/>
    </xf>
    <xf numFmtId="0" fontId="101" fillId="29" borderId="0"/>
    <xf numFmtId="0" fontId="102" fillId="29" borderId="3"/>
    <xf numFmtId="218" fontId="65" fillId="0" borderId="0"/>
    <xf numFmtId="233" fontId="8" fillId="0" borderId="0">
      <protection locked="0"/>
    </xf>
    <xf numFmtId="191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233" fontId="8" fillId="0" borderId="0">
      <protection locked="0"/>
    </xf>
    <xf numFmtId="234" fontId="1" fillId="0" borderId="0" applyFont="0" applyFill="0" applyBorder="0" applyAlignment="0" applyProtection="0"/>
    <xf numFmtId="0" fontId="39" fillId="0" borderId="0">
      <protection locked="0"/>
    </xf>
    <xf numFmtId="0" fontId="133" fillId="0" borderId="0">
      <protection locked="0"/>
    </xf>
    <xf numFmtId="0" fontId="39" fillId="0" borderId="0">
      <protection locked="0"/>
    </xf>
    <xf numFmtId="0" fontId="48" fillId="0" borderId="0">
      <protection locked="0"/>
    </xf>
    <xf numFmtId="267" fontId="154" fillId="0" borderId="0"/>
    <xf numFmtId="0" fontId="134" fillId="27" borderId="19"/>
    <xf numFmtId="0" fontId="56" fillId="0" borderId="0" applyNumberFormat="0" applyFont="0" applyFill="0" applyBorder="0" applyAlignment="0" applyProtection="0">
      <alignment horizontal="left"/>
    </xf>
    <xf numFmtId="235" fontId="39" fillId="0" borderId="0" applyNumberFormat="0" applyFill="0" applyBorder="0" applyAlignment="0" applyProtection="0">
      <alignment horizontal="left"/>
    </xf>
    <xf numFmtId="0" fontId="32" fillId="0" borderId="0"/>
    <xf numFmtId="0" fontId="39" fillId="0" borderId="0"/>
    <xf numFmtId="212" fontId="103" fillId="0" borderId="0" applyFill="0" applyBorder="0" applyAlignment="0" applyProtection="0"/>
    <xf numFmtId="2" fontId="135" fillId="0" borderId="0">
      <alignment horizontal="left" vertical="center"/>
      <protection locked="0"/>
    </xf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48" fillId="0" borderId="20"/>
    <xf numFmtId="0" fontId="136" fillId="0" borderId="0">
      <alignment horizontal="left" indent="1"/>
    </xf>
    <xf numFmtId="0" fontId="49" fillId="0" borderId="0"/>
    <xf numFmtId="40" fontId="104" fillId="0" borderId="0" applyBorder="0">
      <alignment horizontal="right"/>
    </xf>
    <xf numFmtId="0" fontId="137" fillId="0" borderId="0" applyBorder="0" applyProtection="0">
      <alignment vertical="center"/>
    </xf>
    <xf numFmtId="245" fontId="137" fillId="0" borderId="9" applyBorder="0" applyProtection="0">
      <alignment horizontal="right" vertical="center"/>
    </xf>
    <xf numFmtId="0" fontId="138" fillId="32" borderId="0" applyBorder="0" applyProtection="0">
      <alignment horizontal="centerContinuous" vertical="center"/>
    </xf>
    <xf numFmtId="0" fontId="138" fillId="33" borderId="9" applyBorder="0" applyProtection="0">
      <alignment horizontal="centerContinuous" vertical="center"/>
    </xf>
    <xf numFmtId="0" fontId="139" fillId="0" borderId="0" applyFill="0" applyBorder="0" applyProtection="0">
      <alignment horizontal="left"/>
    </xf>
    <xf numFmtId="0" fontId="122" fillId="0" borderId="21" applyFill="0" applyBorder="0" applyProtection="0">
      <alignment horizontal="left" vertical="top"/>
    </xf>
    <xf numFmtId="0" fontId="140" fillId="34" borderId="0"/>
    <xf numFmtId="0" fontId="42" fillId="0" borderId="0"/>
    <xf numFmtId="0" fontId="54" fillId="0" borderId="0" applyFill="0" applyBorder="0" applyProtection="0">
      <alignment horizontal="left" vertical="top"/>
    </xf>
    <xf numFmtId="0" fontId="9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40" fontId="105" fillId="0" borderId="0"/>
    <xf numFmtId="0" fontId="141" fillId="0" borderId="0" applyNumberFormat="0"/>
    <xf numFmtId="229" fontId="8" fillId="0" borderId="22">
      <protection locked="0"/>
    </xf>
    <xf numFmtId="0" fontId="142" fillId="0" borderId="0">
      <alignment horizontal="fill"/>
    </xf>
    <xf numFmtId="9" fontId="143" fillId="0" borderId="0" applyNumberFormat="0" applyFill="0" applyBorder="0" applyAlignment="0">
      <protection locked="0"/>
    </xf>
    <xf numFmtId="205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81" fillId="0" borderId="0" applyNumberFormat="0" applyFont="0" applyFill="0" applyBorder="0" applyProtection="0">
      <alignment horizontal="center" vertical="center" wrapText="1"/>
    </xf>
    <xf numFmtId="236" fontId="1" fillId="0" borderId="0" applyFont="0" applyFill="0" applyBorder="0" applyAlignment="0" applyProtection="0"/>
    <xf numFmtId="0" fontId="106" fillId="0" borderId="0"/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9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55" fillId="18" borderId="0" applyNumberFormat="0" applyBorder="0" applyAlignment="0" applyProtection="0"/>
    <xf numFmtId="0" fontId="155" fillId="18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9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9" fillId="56" borderId="0" applyNumberFormat="0" applyBorder="0" applyAlignment="0" applyProtection="0">
      <alignment vertical="center"/>
    </xf>
    <xf numFmtId="0" fontId="180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81" fillId="56" borderId="0" applyNumberFormat="0" applyBorder="0" applyAlignment="0" applyProtection="0">
      <alignment vertical="center"/>
    </xf>
    <xf numFmtId="0" fontId="179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8" fillId="56" borderId="0" applyNumberFormat="0" applyBorder="0" applyAlignment="0" applyProtection="0">
      <alignment vertical="center"/>
    </xf>
    <xf numFmtId="0" fontId="179" fillId="56" borderId="0" applyNumberFormat="0" applyBorder="0" applyAlignment="0" applyProtection="0">
      <alignment vertical="center"/>
    </xf>
    <xf numFmtId="0" fontId="182" fillId="56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9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55" fillId="19" borderId="0" applyNumberFormat="0" applyBorder="0" applyAlignment="0" applyProtection="0"/>
    <xf numFmtId="0" fontId="155" fillId="19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9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9" fillId="57" borderId="0" applyNumberFormat="0" applyBorder="0" applyAlignment="0" applyProtection="0">
      <alignment vertical="center"/>
    </xf>
    <xf numFmtId="0" fontId="180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81" fillId="57" borderId="0" applyNumberFormat="0" applyBorder="0" applyAlignment="0" applyProtection="0">
      <alignment vertical="center"/>
    </xf>
    <xf numFmtId="0" fontId="179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8" fillId="57" borderId="0" applyNumberFormat="0" applyBorder="0" applyAlignment="0" applyProtection="0">
      <alignment vertical="center"/>
    </xf>
    <xf numFmtId="0" fontId="179" fillId="57" borderId="0" applyNumberFormat="0" applyBorder="0" applyAlignment="0" applyProtection="0">
      <alignment vertical="center"/>
    </xf>
    <xf numFmtId="0" fontId="182" fillId="57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9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55" fillId="20" borderId="0" applyNumberFormat="0" applyBorder="0" applyAlignment="0" applyProtection="0"/>
    <xf numFmtId="0" fontId="155" fillId="20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9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9" fillId="58" borderId="0" applyNumberFormat="0" applyBorder="0" applyAlignment="0" applyProtection="0">
      <alignment vertical="center"/>
    </xf>
    <xf numFmtId="0" fontId="180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81" fillId="58" borderId="0" applyNumberFormat="0" applyBorder="0" applyAlignment="0" applyProtection="0">
      <alignment vertical="center"/>
    </xf>
    <xf numFmtId="0" fontId="179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8" fillId="58" borderId="0" applyNumberFormat="0" applyBorder="0" applyAlignment="0" applyProtection="0">
      <alignment vertical="center"/>
    </xf>
    <xf numFmtId="0" fontId="179" fillId="58" borderId="0" applyNumberFormat="0" applyBorder="0" applyAlignment="0" applyProtection="0">
      <alignment vertical="center"/>
    </xf>
    <xf numFmtId="0" fontId="182" fillId="58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9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55" fillId="15" borderId="0" applyNumberFormat="0" applyBorder="0" applyAlignment="0" applyProtection="0"/>
    <xf numFmtId="0" fontId="155" fillId="15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9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9" fillId="59" borderId="0" applyNumberFormat="0" applyBorder="0" applyAlignment="0" applyProtection="0">
      <alignment vertical="center"/>
    </xf>
    <xf numFmtId="0" fontId="180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81" fillId="59" borderId="0" applyNumberFormat="0" applyBorder="0" applyAlignment="0" applyProtection="0">
      <alignment vertical="center"/>
    </xf>
    <xf numFmtId="0" fontId="179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179" fillId="59" borderId="0" applyNumberFormat="0" applyBorder="0" applyAlignment="0" applyProtection="0">
      <alignment vertical="center"/>
    </xf>
    <xf numFmtId="0" fontId="182" fillId="59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9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55" fillId="16" borderId="0" applyNumberFormat="0" applyBorder="0" applyAlignment="0" applyProtection="0"/>
    <xf numFmtId="0" fontId="155" fillId="16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9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9" fillId="60" borderId="0" applyNumberFormat="0" applyBorder="0" applyAlignment="0" applyProtection="0">
      <alignment vertical="center"/>
    </xf>
    <xf numFmtId="0" fontId="180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81" fillId="60" borderId="0" applyNumberFormat="0" applyBorder="0" applyAlignment="0" applyProtection="0">
      <alignment vertical="center"/>
    </xf>
    <xf numFmtId="0" fontId="179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8" fillId="60" borderId="0" applyNumberFormat="0" applyBorder="0" applyAlignment="0" applyProtection="0">
      <alignment vertical="center"/>
    </xf>
    <xf numFmtId="0" fontId="179" fillId="60" borderId="0" applyNumberFormat="0" applyBorder="0" applyAlignment="0" applyProtection="0">
      <alignment vertical="center"/>
    </xf>
    <xf numFmtId="0" fontId="182" fillId="60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9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55" fillId="21" borderId="0" applyNumberFormat="0" applyBorder="0" applyAlignment="0" applyProtection="0"/>
    <xf numFmtId="0" fontId="155" fillId="2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9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9" fillId="61" borderId="0" applyNumberFormat="0" applyBorder="0" applyAlignment="0" applyProtection="0">
      <alignment vertical="center"/>
    </xf>
    <xf numFmtId="0" fontId="180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81" fillId="61" borderId="0" applyNumberFormat="0" applyBorder="0" applyAlignment="0" applyProtection="0">
      <alignment vertical="center"/>
    </xf>
    <xf numFmtId="0" fontId="179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8" fillId="61" borderId="0" applyNumberFormat="0" applyBorder="0" applyAlignment="0" applyProtection="0">
      <alignment vertical="center"/>
    </xf>
    <xf numFmtId="0" fontId="179" fillId="61" borderId="0" applyNumberFormat="0" applyBorder="0" applyAlignment="0" applyProtection="0">
      <alignment vertical="center"/>
    </xf>
    <xf numFmtId="0" fontId="182" fillId="61" borderId="0" applyNumberFormat="0" applyBorder="0" applyAlignment="0" applyProtection="0">
      <alignment vertical="center"/>
    </xf>
    <xf numFmtId="176" fontId="67" fillId="29" borderId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9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57" fillId="22" borderId="4" applyNumberFormat="0" applyAlignment="0" applyProtection="0"/>
    <xf numFmtId="0" fontId="157" fillId="22" borderId="4" applyNumberFormat="0" applyAlignment="0" applyProtection="0"/>
    <xf numFmtId="0" fontId="157" fillId="22" borderId="4" applyNumberFormat="0" applyAlignment="0" applyProtection="0"/>
    <xf numFmtId="0" fontId="157" fillId="22" borderId="4" applyNumberFormat="0" applyAlignment="0" applyProtection="0">
      <alignment vertical="center"/>
    </xf>
    <xf numFmtId="0" fontId="157" fillId="22" borderId="4" applyNumberFormat="0" applyAlignment="0" applyProtection="0">
      <alignment vertical="center"/>
    </xf>
    <xf numFmtId="0" fontId="157" fillId="22" borderId="4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9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9" fillId="62" borderId="51" applyNumberFormat="0" applyAlignment="0" applyProtection="0">
      <alignment vertical="center"/>
    </xf>
    <xf numFmtId="0" fontId="190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91" fillId="62" borderId="51" applyNumberFormat="0" applyAlignment="0" applyProtection="0">
      <alignment vertical="center"/>
    </xf>
    <xf numFmtId="0" fontId="189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8" fillId="62" borderId="51" applyNumberFormat="0" applyAlignment="0" applyProtection="0">
      <alignment vertical="center"/>
    </xf>
    <xf numFmtId="0" fontId="189" fillId="62" borderId="51" applyNumberFormat="0" applyAlignment="0" applyProtection="0">
      <alignment vertical="center"/>
    </xf>
    <xf numFmtId="0" fontId="192" fillId="62" borderId="51" applyNumberFormat="0" applyAlignment="0" applyProtection="0">
      <alignment vertical="center"/>
    </xf>
    <xf numFmtId="195" fontId="31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49" fontId="32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196" fontId="64" fillId="0" borderId="0"/>
    <xf numFmtId="0" fontId="69" fillId="0" borderId="0"/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197" fontId="39" fillId="0" borderId="6">
      <alignment horizontal="right" vertical="center" shrinkToFit="1"/>
    </xf>
    <xf numFmtId="0" fontId="45" fillId="0" borderId="23"/>
    <xf numFmtId="37" fontId="64" fillId="0" borderId="23"/>
    <xf numFmtId="37" fontId="64" fillId="0" borderId="23"/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4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58" fillId="5" borderId="0" applyNumberFormat="0" applyBorder="0" applyAlignment="0" applyProtection="0"/>
    <xf numFmtId="0" fontId="158" fillId="5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4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4" fillId="63" borderId="0" applyNumberFormat="0" applyBorder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6" fillId="63" borderId="0" applyNumberFormat="0" applyBorder="0" applyAlignment="0" applyProtection="0">
      <alignment vertical="center"/>
    </xf>
    <xf numFmtId="0" fontId="194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3" fillId="63" borderId="0" applyNumberFormat="0" applyBorder="0" applyAlignment="0" applyProtection="0">
      <alignment vertical="center"/>
    </xf>
    <xf numFmtId="0" fontId="194" fillId="63" borderId="0" applyNumberFormat="0" applyBorder="0" applyAlignment="0" applyProtection="0">
      <alignment vertical="center"/>
    </xf>
    <xf numFmtId="0" fontId="197" fillId="63" borderId="0" applyNumberFormat="0" applyBorder="0" applyAlignment="0" applyProtection="0">
      <alignment vertical="center"/>
    </xf>
    <xf numFmtId="0" fontId="70" fillId="0" borderId="0">
      <protection locked="0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1" fontId="37" fillId="0" borderId="6" applyFill="0" applyBorder="0">
      <alignment horizontal="center"/>
    </xf>
    <xf numFmtId="0" fontId="70" fillId="0" borderId="0"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49" fontId="145" fillId="0" borderId="2">
      <alignment horizontal="left" vertical="center" indent="1"/>
    </xf>
    <xf numFmtId="49" fontId="145" fillId="0" borderId="2">
      <alignment horizontal="left" vertical="center" indent="1"/>
    </xf>
    <xf numFmtId="193" fontId="57" fillId="0" borderId="0">
      <protection locked="0"/>
    </xf>
    <xf numFmtId="193" fontId="57" fillId="0" borderId="0"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33" fillId="64" borderId="52" applyNumberFormat="0" applyFont="0" applyAlignment="0" applyProtection="0">
      <alignment vertical="center"/>
    </xf>
    <xf numFmtId="0" fontId="33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35" borderId="24" applyNumberFormat="0" applyFont="0" applyAlignment="0" applyProtection="0"/>
    <xf numFmtId="0" fontId="18" fillId="35" borderId="24" applyNumberFormat="0" applyFont="0" applyAlignment="0" applyProtection="0"/>
    <xf numFmtId="0" fontId="18" fillId="35" borderId="24" applyNumberFormat="0" applyFont="0" applyAlignment="0" applyProtection="0"/>
    <xf numFmtId="0" fontId="35" fillId="35" borderId="24" applyNumberFormat="0" applyFont="0" applyAlignment="0" applyProtection="0">
      <alignment vertical="center"/>
    </xf>
    <xf numFmtId="0" fontId="35" fillId="35" borderId="24" applyNumberFormat="0" applyFont="0" applyAlignment="0" applyProtection="0">
      <alignment vertical="center"/>
    </xf>
    <xf numFmtId="0" fontId="35" fillId="35" borderId="24" applyNumberFormat="0" applyFont="0" applyAlignment="0" applyProtection="0">
      <alignment vertical="center"/>
    </xf>
    <xf numFmtId="0" fontId="171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33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08" fillId="64" borderId="52" applyNumberFormat="0" applyFont="0" applyAlignment="0" applyProtection="0">
      <alignment vertical="center"/>
    </xf>
    <xf numFmtId="0" fontId="18" fillId="64" borderId="52" applyNumberFormat="0" applyFont="0" applyAlignment="0" applyProtection="0">
      <alignment vertical="center"/>
    </xf>
    <xf numFmtId="198" fontId="32" fillId="0" borderId="0">
      <alignment vertical="center"/>
    </xf>
    <xf numFmtId="49" fontId="32" fillId="0" borderId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46" fillId="0" borderId="0"/>
    <xf numFmtId="250" fontId="32" fillId="0" borderId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108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199" fontId="8" fillId="0" borderId="6" applyFont="0" applyBorder="0" applyAlignment="0">
      <alignment horizontal="center"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9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59" fillId="31" borderId="0" applyNumberFormat="0" applyBorder="0" applyAlignment="0" applyProtection="0"/>
    <xf numFmtId="0" fontId="159" fillId="31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9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9" fillId="65" borderId="0" applyNumberFormat="0" applyBorder="0" applyAlignment="0" applyProtection="0">
      <alignment vertical="center"/>
    </xf>
    <xf numFmtId="0" fontId="200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201" fillId="65" borderId="0" applyNumberFormat="0" applyBorder="0" applyAlignment="0" applyProtection="0">
      <alignment vertical="center"/>
    </xf>
    <xf numFmtId="0" fontId="199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8" fillId="65" borderId="0" applyNumberFormat="0" applyBorder="0" applyAlignment="0" applyProtection="0">
      <alignment vertical="center"/>
    </xf>
    <xf numFmtId="0" fontId="199" fillId="65" borderId="0" applyNumberFormat="0" applyBorder="0" applyAlignment="0" applyProtection="0">
      <alignment vertical="center"/>
    </xf>
    <xf numFmtId="0" fontId="202" fillId="65" borderId="0" applyNumberFormat="0" applyBorder="0" applyAlignment="0" applyProtection="0">
      <alignment vertical="center"/>
    </xf>
    <xf numFmtId="0" fontId="38" fillId="0" borderId="0"/>
    <xf numFmtId="193" fontId="57" fillId="0" borderId="0">
      <protection locked="0"/>
    </xf>
    <xf numFmtId="0" fontId="32" fillId="0" borderId="0" applyBorder="0"/>
    <xf numFmtId="0" fontId="1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1" fontId="64" fillId="0" borderId="23">
      <alignment horizontal="left"/>
    </xf>
    <xf numFmtId="201" fontId="64" fillId="0" borderId="23">
      <alignment horizontal="left"/>
    </xf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37" fontId="65" fillId="0" borderId="25" applyAlignment="0"/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9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161" fillId="24" borderId="5" applyNumberFormat="0" applyAlignment="0" applyProtection="0"/>
    <xf numFmtId="0" fontId="161" fillId="24" borderId="5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9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9" fillId="66" borderId="53" applyNumberFormat="0" applyAlignment="0" applyProtection="0">
      <alignment vertical="center"/>
    </xf>
    <xf numFmtId="0" fontId="210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11" fillId="66" borderId="53" applyNumberFormat="0" applyAlignment="0" applyProtection="0">
      <alignment vertical="center"/>
    </xf>
    <xf numFmtId="0" fontId="209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8" fillId="66" borderId="53" applyNumberFormat="0" applyAlignment="0" applyProtection="0">
      <alignment vertical="center"/>
    </xf>
    <xf numFmtId="0" fontId="209" fillId="66" borderId="53" applyNumberFormat="0" applyAlignment="0" applyProtection="0">
      <alignment vertical="center"/>
    </xf>
    <xf numFmtId="0" fontId="212" fillId="66" borderId="53" applyNumberFormat="0" applyAlignment="0" applyProtection="0">
      <alignment vertical="center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176" fontId="55" fillId="29" borderId="6">
      <alignment horizontal="right" vertical="center"/>
      <protection locked="0"/>
    </xf>
    <xf numFmtId="218" fontId="148" fillId="0" borderId="0">
      <alignment vertical="center"/>
    </xf>
    <xf numFmtId="251" fontId="1" fillId="0" borderId="23" applyFill="0" applyBorder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4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183" fontId="3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/>
    <xf numFmtId="183" fontId="32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 applyFont="0" applyFill="0" applyBorder="0" applyAlignment="0" applyProtection="0"/>
    <xf numFmtId="194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0" fontId="39" fillId="0" borderId="0" applyFont="0" applyFill="0" applyBorder="0" applyAlignment="0" applyProtection="0"/>
    <xf numFmtId="194" fontId="32" fillId="0" borderId="0" applyFont="0" applyFill="0" applyBorder="0" applyAlignment="0" applyProtection="0"/>
    <xf numFmtId="194" fontId="32" fillId="0" borderId="0" applyFont="0" applyFill="0" applyBorder="0" applyAlignment="0" applyProtection="0"/>
    <xf numFmtId="0" fontId="39" fillId="0" borderId="0" applyFont="0" applyFill="0" applyBorder="0" applyAlignment="0" applyProtection="0"/>
    <xf numFmtId="200" fontId="32" fillId="0" borderId="18"/>
    <xf numFmtId="200" fontId="32" fillId="0" borderId="18"/>
    <xf numFmtId="200" fontId="32" fillId="0" borderId="18"/>
    <xf numFmtId="200" fontId="32" fillId="0" borderId="18"/>
    <xf numFmtId="200" fontId="32" fillId="0" borderId="18"/>
    <xf numFmtId="200" fontId="32" fillId="0" borderId="18"/>
    <xf numFmtId="200" fontId="32" fillId="0" borderId="18"/>
    <xf numFmtId="200" fontId="32" fillId="0" borderId="18"/>
    <xf numFmtId="252" fontId="149" fillId="0" borderId="0">
      <alignment horizontal="center"/>
    </xf>
    <xf numFmtId="253" fontId="150" fillId="0" borderId="0" applyFont="0">
      <protection locked="0"/>
    </xf>
    <xf numFmtId="0" fontId="72" fillId="0" borderId="26"/>
    <xf numFmtId="254" fontId="32" fillId="0" borderId="0"/>
    <xf numFmtId="255" fontId="32" fillId="0" borderId="0"/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4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162" fillId="0" borderId="13" applyNumberFormat="0" applyFill="0" applyAlignment="0" applyProtection="0"/>
    <xf numFmtId="0" fontId="162" fillId="0" borderId="13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4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4" fillId="0" borderId="54" applyNumberFormat="0" applyFill="0" applyAlignment="0" applyProtection="0">
      <alignment vertical="center"/>
    </xf>
    <xf numFmtId="0" fontId="215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6" fillId="0" borderId="54" applyNumberFormat="0" applyFill="0" applyAlignment="0" applyProtection="0">
      <alignment vertical="center"/>
    </xf>
    <xf numFmtId="0" fontId="214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3" fillId="0" borderId="54" applyNumberFormat="0" applyFill="0" applyAlignment="0" applyProtection="0">
      <alignment vertical="center"/>
    </xf>
    <xf numFmtId="0" fontId="214" fillId="0" borderId="54" applyNumberFormat="0" applyFill="0" applyAlignment="0" applyProtection="0">
      <alignment vertical="center"/>
    </xf>
    <xf numFmtId="0" fontId="217" fillId="0" borderId="54" applyNumberFormat="0" applyFill="0" applyAlignment="0" applyProtection="0">
      <alignment vertical="center"/>
    </xf>
    <xf numFmtId="256" fontId="32" fillId="0" borderId="0"/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9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/>
    <xf numFmtId="0" fontId="163" fillId="0" borderId="27" applyNumberFormat="0" applyFill="0" applyAlignment="0" applyProtection="0">
      <alignment vertical="center"/>
    </xf>
    <xf numFmtId="0" fontId="163" fillId="0" borderId="27" applyNumberFormat="0" applyFill="0" applyAlignment="0" applyProtection="0">
      <alignment vertical="center"/>
    </xf>
    <xf numFmtId="0" fontId="163" fillId="0" borderId="27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9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9" fillId="0" borderId="55" applyNumberFormat="0" applyFill="0" applyAlignment="0" applyProtection="0">
      <alignment vertical="center"/>
    </xf>
    <xf numFmtId="0" fontId="220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21" fillId="0" borderId="55" applyNumberFormat="0" applyFill="0" applyAlignment="0" applyProtection="0">
      <alignment vertical="center"/>
    </xf>
    <xf numFmtId="0" fontId="219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8" fillId="0" borderId="55" applyNumberFormat="0" applyFill="0" applyAlignment="0" applyProtection="0">
      <alignment vertical="center"/>
    </xf>
    <xf numFmtId="0" fontId="219" fillId="0" borderId="55" applyNumberFormat="0" applyFill="0" applyAlignment="0" applyProtection="0">
      <alignment vertical="center"/>
    </xf>
    <xf numFmtId="0" fontId="222" fillId="0" borderId="55" applyNumberFormat="0" applyFill="0" applyAlignment="0" applyProtection="0">
      <alignment vertical="center"/>
    </xf>
    <xf numFmtId="201" fontId="73" fillId="0" borderId="0" applyFont="0" applyFill="0" applyBorder="0" applyAlignment="0" applyProtection="0"/>
    <xf numFmtId="257" fontId="32" fillId="0" borderId="0" applyFont="0" applyFill="0" applyBorder="0" applyAlignment="0" applyProtection="0"/>
    <xf numFmtId="257" fontId="32" fillId="0" borderId="0" applyFont="0" applyFill="0" applyBorder="0" applyAlignment="0" applyProtection="0"/>
    <xf numFmtId="257" fontId="32" fillId="0" borderId="0" applyFont="0" applyFill="0" applyBorder="0" applyAlignment="0" applyProtection="0"/>
    <xf numFmtId="257" fontId="32" fillId="0" borderId="0" applyFont="0" applyFill="0" applyBorder="0" applyAlignment="0" applyProtection="0"/>
    <xf numFmtId="258" fontId="1" fillId="0" borderId="0" applyFont="0" applyFill="0" applyBorder="0" applyAlignment="0" applyProtection="0"/>
    <xf numFmtId="201" fontId="73" fillId="0" borderId="0" applyFont="0" applyFill="0" applyBorder="0" applyAlignment="0" applyProtection="0"/>
    <xf numFmtId="257" fontId="32" fillId="0" borderId="0" applyFont="0" applyFill="0" applyBorder="0" applyAlignment="0" applyProtection="0"/>
    <xf numFmtId="18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3" fillId="0" borderId="0" applyFont="0" applyFill="0" applyBorder="0" applyAlignment="0" applyProtection="0"/>
    <xf numFmtId="202" fontId="75" fillId="0" borderId="0" applyFill="0" applyBorder="0" applyProtection="0">
      <alignment horizontal="right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0" fontId="65" fillId="0" borderId="28">
      <alignment vertical="justify" wrapText="1"/>
    </xf>
    <xf numFmtId="201" fontId="64" fillId="0" borderId="23">
      <alignment horizontal="left"/>
    </xf>
    <xf numFmtId="201" fontId="64" fillId="0" borderId="23">
      <alignment horizontal="left"/>
    </xf>
    <xf numFmtId="0" fontId="75" fillId="0" borderId="0"/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4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164" fillId="9" borderId="4" applyNumberFormat="0" applyAlignment="0" applyProtection="0"/>
    <xf numFmtId="0" fontId="164" fillId="9" borderId="4" applyNumberFormat="0" applyAlignment="0" applyProtection="0"/>
    <xf numFmtId="0" fontId="164" fillId="9" borderId="4" applyNumberFormat="0" applyAlignment="0" applyProtection="0"/>
    <xf numFmtId="0" fontId="164" fillId="9" borderId="4" applyNumberFormat="0" applyAlignment="0" applyProtection="0">
      <alignment vertical="center"/>
    </xf>
    <xf numFmtId="0" fontId="164" fillId="9" borderId="4" applyNumberFormat="0" applyAlignment="0" applyProtection="0">
      <alignment vertical="center"/>
    </xf>
    <xf numFmtId="0" fontId="164" fillId="9" borderId="4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4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4" fillId="67" borderId="51" applyNumberFormat="0" applyAlignment="0" applyProtection="0">
      <alignment vertical="center"/>
    </xf>
    <xf numFmtId="0" fontId="225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6" fillId="67" borderId="51" applyNumberFormat="0" applyAlignment="0" applyProtection="0">
      <alignment vertical="center"/>
    </xf>
    <xf numFmtId="0" fontId="224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3" fillId="67" borderId="51" applyNumberFormat="0" applyAlignment="0" applyProtection="0">
      <alignment vertical="center"/>
    </xf>
    <xf numFmtId="0" fontId="224" fillId="67" borderId="51" applyNumberFormat="0" applyAlignment="0" applyProtection="0">
      <alignment vertical="center"/>
    </xf>
    <xf numFmtId="0" fontId="227" fillId="67" borderId="51" applyNumberFormat="0" applyAlignment="0" applyProtection="0">
      <alignment vertical="center"/>
    </xf>
    <xf numFmtId="4" fontId="76" fillId="0" borderId="0" applyFont="0" applyFill="0" applyBorder="0" applyAlignment="0" applyProtection="0"/>
    <xf numFmtId="3" fontId="76" fillId="0" borderId="0" applyFont="0" applyFill="0" applyBorder="0" applyAlignment="0" applyProtection="0"/>
    <xf numFmtId="259" fontId="32" fillId="0" borderId="0">
      <alignment horizontal="center" vertical="center"/>
    </xf>
    <xf numFmtId="260" fontId="32" fillId="0" borderId="0"/>
    <xf numFmtId="261" fontId="32" fillId="0" borderId="0"/>
    <xf numFmtId="0" fontId="228" fillId="0" borderId="0" applyNumberFormat="0" applyFill="0" applyBorder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166" fillId="0" borderId="29" applyNumberFormat="0" applyFill="0" applyAlignment="0" applyProtection="0"/>
    <xf numFmtId="0" fontId="166" fillId="0" borderId="29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30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30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30" fillId="0" borderId="56" applyNumberFormat="0" applyFill="0" applyAlignment="0" applyProtection="0">
      <alignment vertical="center"/>
    </xf>
    <xf numFmtId="0" fontId="230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30" fillId="0" borderId="56" applyNumberFormat="0" applyFill="0" applyAlignment="0" applyProtection="0">
      <alignment vertical="center"/>
    </xf>
    <xf numFmtId="0" fontId="229" fillId="0" borderId="56" applyNumberFormat="0" applyFill="0" applyAlignment="0" applyProtection="0">
      <alignment vertical="center"/>
    </xf>
    <xf numFmtId="0" fontId="231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/>
    <xf numFmtId="0" fontId="228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167" fillId="0" borderId="30" applyNumberFormat="0" applyFill="0" applyAlignment="0" applyProtection="0"/>
    <xf numFmtId="0" fontId="167" fillId="0" borderId="30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3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3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3" fillId="0" borderId="57" applyNumberFormat="0" applyFill="0" applyAlignment="0" applyProtection="0">
      <alignment vertical="center"/>
    </xf>
    <xf numFmtId="0" fontId="233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33" fillId="0" borderId="57" applyNumberFormat="0" applyFill="0" applyAlignment="0" applyProtection="0">
      <alignment vertical="center"/>
    </xf>
    <xf numFmtId="0" fontId="232" fillId="0" borderId="57" applyNumberFormat="0" applyFill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168" fillId="0" borderId="31" applyNumberFormat="0" applyFill="0" applyAlignment="0" applyProtection="0"/>
    <xf numFmtId="0" fontId="168" fillId="0" borderId="31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5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5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5" fillId="0" borderId="58" applyNumberFormat="0" applyFill="0" applyAlignment="0" applyProtection="0">
      <alignment vertical="center"/>
    </xf>
    <xf numFmtId="0" fontId="235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35" fillId="0" borderId="58" applyNumberFormat="0" applyFill="0" applyAlignment="0" applyProtection="0">
      <alignment vertical="center"/>
    </xf>
    <xf numFmtId="0" fontId="234" fillId="0" borderId="58" applyNumberFormat="0" applyFill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/>
    <xf numFmtId="0" fontId="168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0" fontId="231" fillId="0" borderId="0" applyNumberFormat="0" applyFill="0" applyBorder="0" applyAlignment="0" applyProtection="0">
      <alignment vertical="center"/>
    </xf>
    <xf numFmtId="0" fontId="228" fillId="0" borderId="0" applyNumberFormat="0" applyFill="0" applyBorder="0" applyAlignment="0" applyProtection="0">
      <alignment vertical="center"/>
    </xf>
    <xf numFmtId="198" fontId="32" fillId="0" borderId="0">
      <alignment vertical="center"/>
    </xf>
    <xf numFmtId="198" fontId="32" fillId="0" borderId="0">
      <alignment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62" fontId="32" fillId="0" borderId="6">
      <alignment horizontal="left" vertical="center"/>
    </xf>
    <xf numFmtId="203" fontId="39" fillId="0" borderId="0" applyFill="0" applyBorder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7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169" fillId="6" borderId="0" applyNumberFormat="0" applyBorder="0" applyAlignment="0" applyProtection="0"/>
    <xf numFmtId="0" fontId="169" fillId="6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7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7" fillId="68" borderId="0" applyNumberFormat="0" applyBorder="0" applyAlignment="0" applyProtection="0">
      <alignment vertical="center"/>
    </xf>
    <xf numFmtId="0" fontId="238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9" fillId="68" borderId="0" applyNumberFormat="0" applyBorder="0" applyAlignment="0" applyProtection="0">
      <alignment vertical="center"/>
    </xf>
    <xf numFmtId="0" fontId="237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6" fillId="68" borderId="0" applyNumberFormat="0" applyBorder="0" applyAlignment="0" applyProtection="0">
      <alignment vertical="center"/>
    </xf>
    <xf numFmtId="0" fontId="237" fillId="68" borderId="0" applyNumberFormat="0" applyBorder="0" applyAlignment="0" applyProtection="0">
      <alignment vertical="center"/>
    </xf>
    <xf numFmtId="0" fontId="240" fillId="68" borderId="0" applyNumberFormat="0" applyBorder="0" applyAlignment="0" applyProtection="0">
      <alignment vertical="center"/>
    </xf>
    <xf numFmtId="263" fontId="149" fillId="0" borderId="0">
      <alignment horizontal="right" vertical="center"/>
    </xf>
    <xf numFmtId="0" fontId="32" fillId="0" borderId="0"/>
    <xf numFmtId="0" fontId="59" fillId="0" borderId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2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170" fillId="22" borderId="17" applyNumberFormat="0" applyAlignment="0" applyProtection="0"/>
    <xf numFmtId="0" fontId="170" fillId="22" borderId="17" applyNumberFormat="0" applyAlignment="0" applyProtection="0"/>
    <xf numFmtId="0" fontId="170" fillId="22" borderId="17" applyNumberFormat="0" applyAlignment="0" applyProtection="0"/>
    <xf numFmtId="0" fontId="170" fillId="22" borderId="17" applyNumberFormat="0" applyAlignment="0" applyProtection="0">
      <alignment vertical="center"/>
    </xf>
    <xf numFmtId="0" fontId="170" fillId="22" borderId="17" applyNumberFormat="0" applyAlignment="0" applyProtection="0">
      <alignment vertical="center"/>
    </xf>
    <xf numFmtId="0" fontId="170" fillId="22" borderId="17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2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2" fillId="62" borderId="59" applyNumberFormat="0" applyAlignment="0" applyProtection="0">
      <alignment vertical="center"/>
    </xf>
    <xf numFmtId="0" fontId="243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4" fillId="62" borderId="59" applyNumberFormat="0" applyAlignment="0" applyProtection="0">
      <alignment vertical="center"/>
    </xf>
    <xf numFmtId="0" fontId="242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1" fillId="62" borderId="59" applyNumberFormat="0" applyAlignment="0" applyProtection="0">
      <alignment vertical="center"/>
    </xf>
    <xf numFmtId="0" fontId="242" fillId="62" borderId="59" applyNumberFormat="0" applyAlignment="0" applyProtection="0">
      <alignment vertical="center"/>
    </xf>
    <xf numFmtId="0" fontId="245" fillId="62" borderId="59" applyNumberFormat="0" applyAlignment="0" applyProtection="0">
      <alignment vertical="center"/>
    </xf>
    <xf numFmtId="264" fontId="32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2" fillId="0" borderId="23">
      <alignment vertical="center" shrinkToFit="1"/>
    </xf>
    <xf numFmtId="0" fontId="32" fillId="0" borderId="23">
      <alignment vertical="center" shrinkToFit="1"/>
    </xf>
    <xf numFmtId="184" fontId="32" fillId="0" borderId="0" applyFont="0" applyFill="0" applyBorder="0" applyAlignment="0" applyProtection="0"/>
    <xf numFmtId="41" fontId="1" fillId="0" borderId="0" applyFont="0" applyFill="0" applyBorder="0" applyAlignment="0" applyProtection="0"/>
    <xf numFmtId="194" fontId="32" fillId="0" borderId="0" applyFont="0" applyFill="0" applyBorder="0" applyAlignment="0" applyProtection="0"/>
    <xf numFmtId="265" fontId="34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205" fontId="77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/>
    <xf numFmtId="0" fontId="78" fillId="36" borderId="32"/>
    <xf numFmtId="9" fontId="76" fillId="0" borderId="0" applyFont="0" applyFill="0" applyBorder="0" applyAlignment="0" applyProtection="0"/>
    <xf numFmtId="206" fontId="32" fillId="0" borderId="18"/>
    <xf numFmtId="206" fontId="32" fillId="0" borderId="18"/>
    <xf numFmtId="206" fontId="32" fillId="0" borderId="18"/>
    <xf numFmtId="206" fontId="32" fillId="0" borderId="18"/>
    <xf numFmtId="206" fontId="32" fillId="0" borderId="18"/>
    <xf numFmtId="206" fontId="32" fillId="0" borderId="18"/>
    <xf numFmtId="206" fontId="32" fillId="0" borderId="18"/>
    <xf numFmtId="206" fontId="32" fillId="0" borderId="18"/>
    <xf numFmtId="0" fontId="173" fillId="0" borderId="0">
      <alignment vertical="center"/>
    </xf>
    <xf numFmtId="0" fontId="1" fillId="0" borderId="0"/>
    <xf numFmtId="0" fontId="1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30" fillId="0" borderId="0"/>
    <xf numFmtId="0" fontId="175" fillId="0" borderId="0">
      <alignment vertical="center"/>
    </xf>
    <xf numFmtId="0" fontId="1" fillId="0" borderId="0" applyNumberFormat="0" applyFill="0" applyBorder="0" applyAlignment="0" applyProtection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7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5" fillId="0" borderId="0">
      <alignment vertical="center"/>
    </xf>
    <xf numFmtId="0" fontId="173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" fillId="0" borderId="0"/>
    <xf numFmtId="0" fontId="246" fillId="0" borderId="0">
      <alignment vertical="center"/>
    </xf>
    <xf numFmtId="0" fontId="37" fillId="0" borderId="0"/>
    <xf numFmtId="0" fontId="18" fillId="0" borderId="0">
      <alignment vertical="center"/>
    </xf>
    <xf numFmtId="0" fontId="32" fillId="0" borderId="0"/>
    <xf numFmtId="0" fontId="173" fillId="0" borderId="0">
      <alignment vertical="center"/>
    </xf>
    <xf numFmtId="0" fontId="33" fillId="0" borderId="0">
      <alignment vertical="center"/>
    </xf>
    <xf numFmtId="0" fontId="1" fillId="0" borderId="0"/>
    <xf numFmtId="0" fontId="33" fillId="0" borderId="0">
      <alignment vertical="center"/>
    </xf>
    <xf numFmtId="0" fontId="32" fillId="0" borderId="0"/>
    <xf numFmtId="0" fontId="33" fillId="0" borderId="0">
      <alignment vertical="center"/>
    </xf>
    <xf numFmtId="0" fontId="1" fillId="0" borderId="0"/>
    <xf numFmtId="0" fontId="3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77" fillId="0" borderId="0">
      <alignment vertical="center"/>
    </xf>
    <xf numFmtId="0" fontId="1" fillId="0" borderId="0" applyNumberFormat="0" applyFill="0" applyBorder="0" applyAlignment="0" applyProtection="0"/>
    <xf numFmtId="0" fontId="37" fillId="0" borderId="0"/>
    <xf numFmtId="0" fontId="37" fillId="0" borderId="0"/>
    <xf numFmtId="0" fontId="55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3" fillId="0" borderId="0">
      <alignment vertical="center"/>
    </xf>
    <xf numFmtId="0" fontId="17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33" fillId="0" borderId="0">
      <alignment vertical="center"/>
    </xf>
    <xf numFmtId="0" fontId="173" fillId="0" borderId="0">
      <alignment vertical="center"/>
    </xf>
    <xf numFmtId="0" fontId="1" fillId="0" borderId="0"/>
    <xf numFmtId="0" fontId="37" fillId="0" borderId="0"/>
    <xf numFmtId="0" fontId="1" fillId="0" borderId="0"/>
    <xf numFmtId="0" fontId="35" fillId="0" borderId="0">
      <alignment vertical="center"/>
    </xf>
    <xf numFmtId="0" fontId="37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37" fillId="0" borderId="0"/>
    <xf numFmtId="0" fontId="1" fillId="0" borderId="0"/>
    <xf numFmtId="0" fontId="173" fillId="0" borderId="0">
      <alignment vertical="center"/>
    </xf>
    <xf numFmtId="0" fontId="173" fillId="0" borderId="0">
      <alignment vertical="center"/>
    </xf>
    <xf numFmtId="0" fontId="1" fillId="0" borderId="0"/>
    <xf numFmtId="0" fontId="1" fillId="0" borderId="0" applyNumberFormat="0" applyFill="0" applyBorder="0" applyAlignment="0" applyProtection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40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" fillId="0" borderId="0"/>
    <xf numFmtId="0" fontId="176" fillId="0" borderId="0">
      <alignment vertical="center"/>
    </xf>
    <xf numFmtId="0" fontId="176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40" fillId="0" borderId="0">
      <alignment vertical="center"/>
    </xf>
    <xf numFmtId="0" fontId="1" fillId="0" borderId="0"/>
    <xf numFmtId="0" fontId="176" fillId="0" borderId="0">
      <alignment vertical="center"/>
    </xf>
    <xf numFmtId="0" fontId="176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1" fillId="0" borderId="0" applyNumberFormat="0" applyFill="0" applyBorder="0" applyAlignment="0" applyProtection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" fillId="0" borderId="0" applyNumberFormat="0" applyFill="0" applyBorder="0" applyAlignment="0" applyProtection="0"/>
    <xf numFmtId="0" fontId="1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77" fillId="0" borderId="0">
      <alignment vertical="center"/>
    </xf>
    <xf numFmtId="0" fontId="1" fillId="0" borderId="0"/>
    <xf numFmtId="0" fontId="1" fillId="0" borderId="0"/>
    <xf numFmtId="14" fontId="32" fillId="37" borderId="0" applyFont="0" applyFill="0" applyBorder="0" applyAlignment="0"/>
    <xf numFmtId="0" fontId="16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center"/>
    </xf>
    <xf numFmtId="0" fontId="248" fillId="0" borderId="0" applyNumberFormat="0" applyFill="0" applyBorder="0" applyAlignment="0" applyProtection="0">
      <alignment vertical="center"/>
    </xf>
    <xf numFmtId="0" fontId="247" fillId="0" borderId="0" applyNumberFormat="0" applyFill="0" applyBorder="0" applyAlignment="0" applyProtection="0">
      <alignment vertical="top"/>
      <protection locked="0"/>
    </xf>
    <xf numFmtId="0" fontId="247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70" fillId="0" borderId="33">
      <protection locked="0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8" fontId="77" fillId="0" borderId="0" applyFont="0" applyFill="0" applyBorder="0" applyAlignment="0" applyProtection="0">
      <alignment vertical="center"/>
    </xf>
    <xf numFmtId="6" fontId="32" fillId="0" borderId="0"/>
    <xf numFmtId="207" fontId="75" fillId="0" borderId="0" applyFont="0" applyFill="0" applyBorder="0" applyAlignment="0" applyProtection="0"/>
    <xf numFmtId="208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176" fontId="67" fillId="0" borderId="0">
      <alignment horizontal="right" vertical="center"/>
    </xf>
  </cellStyleXfs>
  <cellXfs count="655">
    <xf numFmtId="0" fontId="0" fillId="0" borderId="0" xfId="0"/>
    <xf numFmtId="0" fontId="3" fillId="0" borderId="0" xfId="0" applyNumberFormat="1" applyFont="1" applyFill="1" applyAlignment="1" applyProtection="1">
      <alignment horizontal="left"/>
      <protection locked="0"/>
    </xf>
    <xf numFmtId="176" fontId="4" fillId="0" borderId="0" xfId="2458" applyNumberFormat="1" applyFont="1"/>
    <xf numFmtId="0" fontId="4" fillId="0" borderId="0" xfId="0" applyFont="1" applyAlignment="1" applyProtection="1">
      <alignment horizontal="left"/>
      <protection locked="0"/>
    </xf>
    <xf numFmtId="0" fontId="4" fillId="0" borderId="0" xfId="0" applyNumberFormat="1" applyFont="1" applyAlignment="1" applyProtection="1">
      <alignment horizontal="left"/>
      <protection locked="0"/>
    </xf>
    <xf numFmtId="3" fontId="4" fillId="0" borderId="0" xfId="2458" applyNumberFormat="1" applyFont="1" applyBorder="1"/>
    <xf numFmtId="3" fontId="4" fillId="0" borderId="0" xfId="0" applyNumberFormat="1" applyFont="1" applyBorder="1"/>
    <xf numFmtId="0" fontId="4" fillId="0" borderId="0" xfId="2458" applyNumberFormat="1" applyFont="1"/>
    <xf numFmtId="0" fontId="7" fillId="0" borderId="0" xfId="0" applyFont="1"/>
    <xf numFmtId="0" fontId="3" fillId="0" borderId="0" xfId="0" applyNumberFormat="1" applyFont="1" applyAlignment="1" applyProtection="1">
      <alignment horizontal="left"/>
      <protection locked="0"/>
    </xf>
    <xf numFmtId="0" fontId="3" fillId="0" borderId="0" xfId="0" applyNumberFormat="1" applyFont="1" applyProtection="1"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0" fontId="4" fillId="0" borderId="0" xfId="0" applyNumberFormat="1" applyFont="1" applyProtection="1">
      <protection locked="0"/>
    </xf>
    <xf numFmtId="0" fontId="4" fillId="0" borderId="0" xfId="0" applyFont="1" applyBorder="1" applyProtection="1">
      <protection locked="0"/>
    </xf>
    <xf numFmtId="3" fontId="4" fillId="0" borderId="0" xfId="0" applyNumberFormat="1" applyFont="1"/>
    <xf numFmtId="3" fontId="7" fillId="0" borderId="0" xfId="0" applyNumberFormat="1" applyFont="1"/>
    <xf numFmtId="3" fontId="4" fillId="0" borderId="0" xfId="0" applyNumberFormat="1" applyFont="1" applyFill="1"/>
    <xf numFmtId="3" fontId="4" fillId="0" borderId="0" xfId="1877" applyNumberFormat="1" applyFont="1"/>
    <xf numFmtId="3" fontId="7" fillId="0" borderId="0" xfId="0" applyNumberFormat="1" applyFont="1" applyBorder="1"/>
    <xf numFmtId="49" fontId="3" fillId="0" borderId="0" xfId="2458" applyNumberFormat="1" applyFont="1" applyAlignment="1">
      <alignment horizontal="left"/>
    </xf>
    <xf numFmtId="3" fontId="7" fillId="0" borderId="0" xfId="2458" applyNumberFormat="1" applyFont="1"/>
    <xf numFmtId="3" fontId="4" fillId="0" borderId="0" xfId="2458" applyNumberFormat="1" applyFont="1"/>
    <xf numFmtId="177" fontId="4" fillId="0" borderId="0" xfId="2458" applyNumberFormat="1" applyFont="1"/>
    <xf numFmtId="49" fontId="3" fillId="0" borderId="0" xfId="2458" applyNumberFormat="1" applyFont="1" applyAlignment="1">
      <alignment horizontal="right"/>
    </xf>
    <xf numFmtId="0" fontId="7" fillId="0" borderId="0" xfId="2458" applyFont="1"/>
    <xf numFmtId="49" fontId="4" fillId="0" borderId="0" xfId="2458" applyNumberFormat="1" applyFont="1" applyAlignment="1">
      <alignment horizontal="right"/>
    </xf>
    <xf numFmtId="49" fontId="4" fillId="0" borderId="0" xfId="2458" applyNumberFormat="1" applyFont="1" applyAlignment="1">
      <alignment horizontal="left"/>
    </xf>
    <xf numFmtId="0" fontId="4" fillId="0" borderId="0" xfId="2458" applyFont="1" applyAlignment="1" applyProtection="1">
      <alignment horizontal="right"/>
      <protection locked="0"/>
    </xf>
    <xf numFmtId="3" fontId="4" fillId="0" borderId="0" xfId="2458" applyNumberFormat="1" applyFont="1" applyBorder="1" applyAlignment="1">
      <alignment horizontal="right"/>
    </xf>
    <xf numFmtId="3" fontId="4" fillId="0" borderId="0" xfId="0" applyNumberFormat="1" applyFont="1" applyBorder="1" applyProtection="1"/>
    <xf numFmtId="3" fontId="4" fillId="0" borderId="0" xfId="2458" applyNumberFormat="1" applyFont="1" applyBorder="1" applyAlignment="1">
      <alignment horizontal="center"/>
    </xf>
    <xf numFmtId="49" fontId="7" fillId="0" borderId="0" xfId="2458" applyNumberFormat="1" applyFont="1" applyAlignment="1">
      <alignment horizontal="right"/>
    </xf>
    <xf numFmtId="0" fontId="4" fillId="0" borderId="0" xfId="0" applyFont="1"/>
    <xf numFmtId="0" fontId="8" fillId="0" borderId="0" xfId="0" applyFont="1"/>
    <xf numFmtId="0" fontId="9" fillId="0" borderId="0" xfId="0" applyFont="1" applyProtection="1"/>
    <xf numFmtId="0" fontId="4" fillId="0" borderId="0" xfId="0" applyFont="1" applyProtection="1">
      <protection locked="0"/>
    </xf>
    <xf numFmtId="0" fontId="4" fillId="0" borderId="0" xfId="0" applyFont="1" applyBorder="1" applyAlignment="1" applyProtection="1">
      <alignment horizontal="center"/>
      <protection locked="0"/>
    </xf>
    <xf numFmtId="3" fontId="4" fillId="0" borderId="0" xfId="0" applyNumberFormat="1" applyFont="1" applyProtection="1">
      <protection locked="0"/>
    </xf>
    <xf numFmtId="3" fontId="4" fillId="0" borderId="0" xfId="0" applyNumberFormat="1" applyFont="1" applyBorder="1" applyAlignment="1" applyProtection="1">
      <alignment horizontal="right"/>
    </xf>
    <xf numFmtId="0" fontId="9" fillId="0" borderId="0" xfId="0" applyFont="1"/>
    <xf numFmtId="0" fontId="3" fillId="0" borderId="0" xfId="0" applyFont="1" applyProtection="1">
      <protection locked="0"/>
    </xf>
    <xf numFmtId="178" fontId="3" fillId="0" borderId="0" xfId="0" applyNumberFormat="1" applyFont="1" applyProtection="1">
      <protection locked="0"/>
    </xf>
    <xf numFmtId="176" fontId="3" fillId="0" borderId="0" xfId="0" applyNumberFormat="1" applyFont="1" applyProtection="1">
      <protection locked="0"/>
    </xf>
    <xf numFmtId="0" fontId="4" fillId="0" borderId="0" xfId="0" applyFont="1" applyBorder="1"/>
    <xf numFmtId="176" fontId="4" fillId="0" borderId="0" xfId="0" applyNumberFormat="1" applyFont="1" applyProtection="1">
      <protection hidden="1"/>
    </xf>
    <xf numFmtId="0" fontId="3" fillId="0" borderId="0" xfId="0" applyFont="1"/>
    <xf numFmtId="0" fontId="12" fillId="0" borderId="0" xfId="0" applyNumberFormat="1" applyFont="1" applyAlignment="1" applyProtection="1">
      <alignment horizontal="left"/>
      <protection locked="0"/>
    </xf>
    <xf numFmtId="176" fontId="12" fillId="0" borderId="0" xfId="0" applyNumberFormat="1" applyFont="1" applyProtection="1">
      <protection locked="0"/>
    </xf>
    <xf numFmtId="178" fontId="12" fillId="0" borderId="0" xfId="0" applyNumberFormat="1" applyFont="1" applyProtection="1">
      <protection locked="0"/>
    </xf>
    <xf numFmtId="0" fontId="12" fillId="0" borderId="0" xfId="0" applyFont="1"/>
    <xf numFmtId="0" fontId="4" fillId="0" borderId="0" xfId="0" applyNumberFormat="1" applyFont="1" applyAlignment="1" applyProtection="1">
      <alignment horizontal="left"/>
      <protection hidden="1"/>
    </xf>
    <xf numFmtId="178" fontId="4" fillId="0" borderId="0" xfId="0" applyNumberFormat="1" applyFont="1" applyProtection="1">
      <protection hidden="1"/>
    </xf>
    <xf numFmtId="176" fontId="4" fillId="0" borderId="0" xfId="0" applyNumberFormat="1" applyFont="1" applyAlignment="1" applyProtection="1">
      <alignment horizontal="center"/>
      <protection hidden="1"/>
    </xf>
    <xf numFmtId="3" fontId="4" fillId="0" borderId="0" xfId="0" applyNumberFormat="1" applyFont="1" applyAlignment="1" applyProtection="1">
      <alignment horizontal="center"/>
      <protection hidden="1"/>
    </xf>
    <xf numFmtId="3" fontId="4" fillId="0" borderId="0" xfId="0" applyNumberFormat="1" applyFont="1" applyProtection="1">
      <protection hidden="1"/>
    </xf>
    <xf numFmtId="0" fontId="4" fillId="0" borderId="0" xfId="0" applyNumberFormat="1" applyFont="1" applyAlignment="1" applyProtection="1">
      <alignment horizontal="center"/>
      <protection hidden="1"/>
    </xf>
    <xf numFmtId="3" fontId="13" fillId="0" borderId="0" xfId="0" applyNumberFormat="1" applyFont="1"/>
    <xf numFmtId="3" fontId="5" fillId="0" borderId="0" xfId="0" applyNumberFormat="1" applyFont="1"/>
    <xf numFmtId="3" fontId="5" fillId="0" borderId="0" xfId="1877" applyNumberFormat="1" applyFont="1"/>
    <xf numFmtId="176" fontId="4" fillId="0" borderId="0" xfId="1877" applyNumberFormat="1" applyFont="1"/>
    <xf numFmtId="0" fontId="11" fillId="0" borderId="0" xfId="0" applyFont="1"/>
    <xf numFmtId="49" fontId="3" fillId="0" borderId="0" xfId="0" applyNumberFormat="1" applyFont="1"/>
    <xf numFmtId="176" fontId="9" fillId="0" borderId="0" xfId="1877" applyNumberFormat="1" applyFont="1"/>
    <xf numFmtId="3" fontId="9" fillId="0" borderId="0" xfId="0" applyNumberFormat="1" applyFont="1"/>
    <xf numFmtId="49" fontId="4" fillId="0" borderId="0" xfId="0" applyNumberFormat="1" applyFont="1"/>
    <xf numFmtId="3" fontId="5" fillId="0" borderId="0" xfId="0" applyNumberFormat="1" applyFont="1" applyAlignment="1"/>
    <xf numFmtId="3" fontId="4" fillId="0" borderId="0" xfId="0" applyNumberFormat="1" applyFont="1" applyAlignment="1"/>
    <xf numFmtId="0" fontId="5" fillId="0" borderId="0" xfId="0" applyFont="1"/>
    <xf numFmtId="49" fontId="4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5" fillId="0" borderId="0" xfId="0" applyFont="1" applyBorder="1" applyAlignment="1" applyProtection="1">
      <alignment horizontal="center"/>
      <protection locked="0"/>
    </xf>
    <xf numFmtId="3" fontId="5" fillId="0" borderId="0" xfId="0" applyNumberFormat="1" applyFont="1" applyProtection="1">
      <protection locked="0"/>
    </xf>
    <xf numFmtId="0" fontId="14" fillId="0" borderId="0" xfId="0" applyFont="1" applyProtection="1">
      <protection locked="0"/>
    </xf>
    <xf numFmtId="0" fontId="15" fillId="0" borderId="0" xfId="0" applyFont="1"/>
    <xf numFmtId="49" fontId="4" fillId="0" borderId="0" xfId="0" applyNumberFormat="1" applyFont="1" applyProtection="1">
      <protection locked="0"/>
    </xf>
    <xf numFmtId="49" fontId="4" fillId="0" borderId="0" xfId="0" applyNumberFormat="1" applyFont="1" applyAlignment="1">
      <alignment horizontal="center"/>
    </xf>
    <xf numFmtId="0" fontId="4" fillId="0" borderId="0" xfId="0" applyFont="1" applyBorder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49" fontId="4" fillId="0" borderId="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0" xfId="0" applyFill="1"/>
    <xf numFmtId="0" fontId="7" fillId="0" borderId="0" xfId="0" applyFont="1" applyFill="1"/>
    <xf numFmtId="3" fontId="5" fillId="0" borderId="0" xfId="0" applyNumberFormat="1" applyFont="1" applyFill="1"/>
    <xf numFmtId="177" fontId="4" fillId="0" borderId="0" xfId="0" applyNumberFormat="1" applyFont="1" applyProtection="1">
      <protection hidden="1"/>
    </xf>
    <xf numFmtId="177" fontId="4" fillId="0" borderId="0" xfId="0" applyNumberFormat="1" applyFont="1" applyAlignment="1" applyProtection="1">
      <alignment horizontal="right"/>
      <protection hidden="1"/>
    </xf>
    <xf numFmtId="49" fontId="17" fillId="0" borderId="0" xfId="0" applyNumberFormat="1" applyFont="1"/>
    <xf numFmtId="3" fontId="5" fillId="0" borderId="0" xfId="1877" applyNumberFormat="1" applyFont="1" applyFill="1"/>
    <xf numFmtId="41" fontId="3" fillId="0" borderId="0" xfId="1877" applyFont="1" applyProtection="1">
      <protection locked="0"/>
    </xf>
    <xf numFmtId="49" fontId="10" fillId="0" borderId="0" xfId="0" applyNumberFormat="1" applyFont="1"/>
    <xf numFmtId="3" fontId="9" fillId="0" borderId="0" xfId="1877" applyNumberFormat="1" applyFont="1"/>
    <xf numFmtId="0" fontId="4" fillId="0" borderId="0" xfId="0" applyFont="1" applyAlignment="1">
      <alignment horizontal="centerContinuous"/>
    </xf>
    <xf numFmtId="0" fontId="4" fillId="0" borderId="0" xfId="0" applyFont="1" applyBorder="1" applyAlignment="1">
      <alignment horizontal="centerContinuous"/>
    </xf>
    <xf numFmtId="3" fontId="4" fillId="0" borderId="0" xfId="1877" applyNumberFormat="1" applyFont="1" applyBorder="1"/>
    <xf numFmtId="176" fontId="4" fillId="0" borderId="0" xfId="0" applyNumberFormat="1" applyFont="1"/>
    <xf numFmtId="0" fontId="8" fillId="0" borderId="0" xfId="0" applyFont="1" applyBorder="1"/>
    <xf numFmtId="176" fontId="4" fillId="0" borderId="0" xfId="0" applyNumberFormat="1" applyFont="1" applyFill="1" applyProtection="1">
      <protection hidden="1"/>
    </xf>
    <xf numFmtId="178" fontId="4" fillId="0" borderId="0" xfId="0" applyNumberFormat="1" applyFont="1" applyFill="1" applyProtection="1">
      <protection hidden="1"/>
    </xf>
    <xf numFmtId="3" fontId="4" fillId="0" borderId="0" xfId="0" applyNumberFormat="1" applyFont="1" applyFill="1" applyProtection="1">
      <protection hidden="1"/>
    </xf>
    <xf numFmtId="268" fontId="4" fillId="0" borderId="0" xfId="0" applyNumberFormat="1" applyFont="1"/>
    <xf numFmtId="0" fontId="249" fillId="0" borderId="0" xfId="0" applyNumberFormat="1" applyFont="1" applyProtection="1">
      <protection locked="0"/>
    </xf>
    <xf numFmtId="0" fontId="9" fillId="0" borderId="0" xfId="0" applyFont="1" applyBorder="1" applyProtection="1"/>
    <xf numFmtId="3" fontId="7" fillId="0" borderId="0" xfId="2458" applyNumberFormat="1" applyFont="1" applyBorder="1"/>
    <xf numFmtId="177" fontId="4" fillId="0" borderId="0" xfId="2458" applyNumberFormat="1" applyFont="1" applyBorder="1"/>
    <xf numFmtId="176" fontId="4" fillId="0" borderId="0" xfId="0" applyNumberFormat="1" applyFont="1" applyBorder="1" applyProtection="1">
      <protection hidden="1"/>
    </xf>
    <xf numFmtId="178" fontId="4" fillId="0" borderId="0" xfId="0" applyNumberFormat="1" applyFont="1" applyBorder="1" applyProtection="1">
      <protection hidden="1"/>
    </xf>
    <xf numFmtId="178" fontId="3" fillId="0" borderId="0" xfId="0" applyNumberFormat="1" applyFont="1" applyBorder="1" applyProtection="1">
      <protection locked="0"/>
    </xf>
    <xf numFmtId="178" fontId="12" fillId="0" borderId="0" xfId="0" applyNumberFormat="1" applyFont="1" applyBorder="1" applyProtection="1">
      <protection locked="0"/>
    </xf>
    <xf numFmtId="0" fontId="3" fillId="0" borderId="0" xfId="0" applyFont="1" applyBorder="1"/>
    <xf numFmtId="49" fontId="3" fillId="0" borderId="0" xfId="0" applyNumberFormat="1" applyFont="1" applyAlignment="1">
      <alignment horizontal="right"/>
    </xf>
    <xf numFmtId="49" fontId="250" fillId="0" borderId="0" xfId="0" applyNumberFormat="1" applyFont="1" applyAlignment="1">
      <alignment horizontal="right"/>
    </xf>
    <xf numFmtId="176" fontId="4" fillId="0" borderId="0" xfId="0" applyNumberFormat="1" applyFont="1" applyFill="1" applyBorder="1" applyProtection="1">
      <protection hidden="1"/>
    </xf>
    <xf numFmtId="178" fontId="4" fillId="0" borderId="0" xfId="0" applyNumberFormat="1" applyFont="1" applyFill="1" applyBorder="1" applyProtection="1">
      <protection hidden="1"/>
    </xf>
    <xf numFmtId="176" fontId="3" fillId="0" borderId="0" xfId="0" applyNumberFormat="1" applyFont="1" applyFill="1" applyBorder="1" applyProtection="1">
      <protection locked="0"/>
    </xf>
    <xf numFmtId="178" fontId="3" fillId="0" borderId="0" xfId="0" applyNumberFormat="1" applyFont="1" applyFill="1" applyBorder="1" applyProtection="1">
      <protection locked="0"/>
    </xf>
    <xf numFmtId="176" fontId="3" fillId="0" borderId="0" xfId="0" applyNumberFormat="1" applyFont="1" applyBorder="1" applyProtection="1">
      <protection locked="0"/>
    </xf>
    <xf numFmtId="180" fontId="12" fillId="0" borderId="0" xfId="0" applyNumberFormat="1" applyFont="1" applyBorder="1" applyProtection="1">
      <protection locked="0"/>
    </xf>
    <xf numFmtId="176" fontId="12" fillId="0" borderId="0" xfId="0" applyNumberFormat="1" applyFont="1" applyFill="1" applyBorder="1" applyProtection="1">
      <protection locked="0"/>
    </xf>
    <xf numFmtId="178" fontId="12" fillId="0" borderId="0" xfId="0" applyNumberFormat="1" applyFont="1" applyFill="1" applyBorder="1" applyProtection="1">
      <protection locked="0"/>
    </xf>
    <xf numFmtId="176" fontId="12" fillId="0" borderId="0" xfId="0" applyNumberFormat="1" applyFont="1" applyBorder="1" applyProtection="1">
      <protection locked="0"/>
    </xf>
    <xf numFmtId="176" fontId="12" fillId="0" borderId="0" xfId="0" applyNumberFormat="1" applyFont="1" applyBorder="1" applyAlignment="1" applyProtection="1">
      <alignment horizontal="left"/>
      <protection locked="0"/>
    </xf>
    <xf numFmtId="3" fontId="12" fillId="69" borderId="34" xfId="2458" applyNumberFormat="1" applyFont="1" applyFill="1" applyBorder="1" applyAlignment="1">
      <alignment vertical="center" wrapText="1"/>
    </xf>
    <xf numFmtId="49" fontId="3" fillId="0" borderId="34" xfId="2458" applyNumberFormat="1" applyFont="1" applyBorder="1" applyAlignment="1">
      <alignment horizontal="left"/>
    </xf>
    <xf numFmtId="3" fontId="7" fillId="0" borderId="35" xfId="2458" applyNumberFormat="1" applyFont="1" applyBorder="1"/>
    <xf numFmtId="3" fontId="7" fillId="0" borderId="35" xfId="2458" applyNumberFormat="1" applyFont="1" applyBorder="1" applyAlignment="1"/>
    <xf numFmtId="3" fontId="7" fillId="0" borderId="34" xfId="2458" applyNumberFormat="1" applyFont="1" applyBorder="1"/>
    <xf numFmtId="3" fontId="4" fillId="0" borderId="34" xfId="2458" applyNumberFormat="1" applyFont="1" applyBorder="1"/>
    <xf numFmtId="177" fontId="7" fillId="0" borderId="35" xfId="2458" applyNumberFormat="1" applyFont="1" applyBorder="1"/>
    <xf numFmtId="177" fontId="4" fillId="0" borderId="35" xfId="2458" applyNumberFormat="1" applyFont="1" applyBorder="1"/>
    <xf numFmtId="0" fontId="7" fillId="0" borderId="18" xfId="1877" applyNumberFormat="1" applyFont="1" applyBorder="1" applyAlignment="1">
      <alignment horizontal="center"/>
    </xf>
    <xf numFmtId="3" fontId="7" fillId="0" borderId="23" xfId="2458" applyNumberFormat="1" applyFont="1" applyBorder="1"/>
    <xf numFmtId="3" fontId="7" fillId="0" borderId="23" xfId="2458" applyNumberFormat="1" applyFont="1" applyBorder="1" applyAlignment="1"/>
    <xf numFmtId="3" fontId="7" fillId="0" borderId="18" xfId="2458" applyNumberFormat="1" applyFont="1" applyBorder="1"/>
    <xf numFmtId="49" fontId="3" fillId="0" borderId="18" xfId="2458" applyNumberFormat="1" applyFont="1" applyBorder="1" applyAlignment="1">
      <alignment horizontal="left"/>
    </xf>
    <xf numFmtId="49" fontId="3" fillId="0" borderId="36" xfId="2458" applyNumberFormat="1" applyFont="1" applyBorder="1" applyAlignment="1">
      <alignment horizontal="left"/>
    </xf>
    <xf numFmtId="3" fontId="7" fillId="0" borderId="37" xfId="2458" applyNumberFormat="1" applyFont="1" applyBorder="1"/>
    <xf numFmtId="3" fontId="7" fillId="0" borderId="36" xfId="2458" applyNumberFormat="1" applyFont="1" applyBorder="1"/>
    <xf numFmtId="3" fontId="4" fillId="0" borderId="36" xfId="2458" applyNumberFormat="1" applyFont="1" applyBorder="1"/>
    <xf numFmtId="177" fontId="7" fillId="0" borderId="37" xfId="2458" applyNumberFormat="1" applyFont="1" applyBorder="1"/>
    <xf numFmtId="177" fontId="4" fillId="0" borderId="37" xfId="2458" applyNumberFormat="1" applyFont="1" applyBorder="1"/>
    <xf numFmtId="49" fontId="12" fillId="0" borderId="23" xfId="2458" applyNumberFormat="1" applyFont="1" applyFill="1" applyBorder="1" applyAlignment="1">
      <alignment horizontal="center" vertical="center"/>
    </xf>
    <xf numFmtId="0" fontId="12" fillId="0" borderId="35" xfId="2458" applyFont="1" applyFill="1" applyBorder="1" applyAlignment="1">
      <alignment horizontal="center" vertical="center"/>
    </xf>
    <xf numFmtId="3" fontId="12" fillId="0" borderId="35" xfId="2458" applyNumberFormat="1" applyFont="1" applyFill="1" applyBorder="1" applyAlignment="1">
      <alignment horizontal="center" vertical="center"/>
    </xf>
    <xf numFmtId="3" fontId="12" fillId="0" borderId="35" xfId="2458" applyNumberFormat="1" applyFont="1" applyFill="1" applyBorder="1" applyAlignment="1">
      <alignment horizontal="center" vertical="center" wrapText="1"/>
    </xf>
    <xf numFmtId="177" fontId="12" fillId="0" borderId="35" xfId="2458" applyNumberFormat="1" applyFont="1" applyFill="1" applyBorder="1" applyAlignment="1">
      <alignment horizontal="center" vertical="center"/>
    </xf>
    <xf numFmtId="177" fontId="12" fillId="0" borderId="35" xfId="2458" applyNumberFormat="1" applyFont="1" applyFill="1" applyBorder="1" applyAlignment="1">
      <alignment horizontal="center" vertical="center" wrapText="1"/>
    </xf>
    <xf numFmtId="49" fontId="7" fillId="0" borderId="23" xfId="2458" applyNumberFormat="1" applyFont="1" applyBorder="1" applyAlignment="1">
      <alignment horizontal="center"/>
    </xf>
    <xf numFmtId="268" fontId="7" fillId="0" borderId="23" xfId="2458" applyNumberFormat="1" applyFont="1" applyBorder="1" applyAlignment="1">
      <alignment horizontal="right"/>
    </xf>
    <xf numFmtId="270" fontId="7" fillId="0" borderId="23" xfId="2458" applyNumberFormat="1" applyFont="1" applyBorder="1"/>
    <xf numFmtId="49" fontId="7" fillId="0" borderId="37" xfId="2458" applyNumberFormat="1" applyFont="1" applyBorder="1" applyAlignment="1">
      <alignment horizontal="right"/>
    </xf>
    <xf numFmtId="3" fontId="7" fillId="0" borderId="37" xfId="2458" applyNumberFormat="1" applyFont="1" applyBorder="1" applyAlignment="1">
      <alignment horizontal="right"/>
    </xf>
    <xf numFmtId="270" fontId="7" fillId="0" borderId="37" xfId="2458" applyNumberFormat="1" applyFont="1" applyBorder="1"/>
    <xf numFmtId="0" fontId="7" fillId="0" borderId="35" xfId="0" applyFont="1" applyBorder="1" applyAlignment="1" applyProtection="1">
      <alignment horizontal="center"/>
      <protection locked="0"/>
    </xf>
    <xf numFmtId="3" fontId="7" fillId="0" borderId="35" xfId="0" applyNumberFormat="1" applyFont="1" applyBorder="1" applyProtection="1">
      <protection locked="0"/>
    </xf>
    <xf numFmtId="0" fontId="7" fillId="0" borderId="35" xfId="0" applyFont="1" applyBorder="1" applyProtection="1">
      <protection locked="0"/>
    </xf>
    <xf numFmtId="0" fontId="7" fillId="0" borderId="25" xfId="0" applyFont="1" applyBorder="1" applyProtection="1">
      <protection locked="0"/>
    </xf>
    <xf numFmtId="3" fontId="7" fillId="0" borderId="23" xfId="0" applyNumberFormat="1" applyFont="1" applyBorder="1"/>
    <xf numFmtId="268" fontId="7" fillId="0" borderId="23" xfId="0" applyNumberFormat="1" applyFont="1" applyBorder="1" applyAlignment="1">
      <alignment horizontal="right"/>
    </xf>
    <xf numFmtId="268" fontId="7" fillId="0" borderId="23" xfId="1877" applyNumberFormat="1" applyFont="1" applyBorder="1" applyAlignment="1">
      <alignment horizontal="right"/>
    </xf>
    <xf numFmtId="268" fontId="7" fillId="0" borderId="0" xfId="0" applyNumberFormat="1" applyFont="1" applyBorder="1" applyAlignment="1">
      <alignment horizontal="right"/>
    </xf>
    <xf numFmtId="3" fontId="7" fillId="0" borderId="23" xfId="0" applyNumberFormat="1" applyFont="1" applyFill="1" applyBorder="1"/>
    <xf numFmtId="268" fontId="7" fillId="0" borderId="23" xfId="0" applyNumberFormat="1" applyFont="1" applyBorder="1" applyAlignment="1" applyProtection="1">
      <alignment horizontal="right"/>
      <protection locked="0"/>
    </xf>
    <xf numFmtId="268" fontId="7" fillId="0" borderId="0" xfId="0" applyNumberFormat="1" applyFont="1" applyBorder="1" applyAlignment="1" applyProtection="1">
      <alignment horizontal="right"/>
      <protection locked="0"/>
    </xf>
    <xf numFmtId="0" fontId="12" fillId="0" borderId="23" xfId="0" applyNumberFormat="1" applyFont="1" applyBorder="1" applyAlignment="1">
      <alignment horizontal="left"/>
    </xf>
    <xf numFmtId="268" fontId="12" fillId="0" borderId="23" xfId="0" applyNumberFormat="1" applyFont="1" applyBorder="1" applyAlignment="1" applyProtection="1">
      <alignment horizontal="right"/>
    </xf>
    <xf numFmtId="268" fontId="12" fillId="0" borderId="0" xfId="0" applyNumberFormat="1" applyFont="1" applyBorder="1" applyAlignment="1" applyProtection="1">
      <alignment horizontal="right"/>
    </xf>
    <xf numFmtId="0" fontId="7" fillId="0" borderId="37" xfId="0" applyNumberFormat="1" applyFont="1" applyBorder="1" applyAlignment="1">
      <alignment horizontal="center"/>
    </xf>
    <xf numFmtId="3" fontId="7" fillId="0" borderId="37" xfId="0" applyNumberFormat="1" applyFont="1" applyBorder="1" applyProtection="1"/>
    <xf numFmtId="3" fontId="7" fillId="0" borderId="37" xfId="0" applyNumberFormat="1" applyFont="1" applyBorder="1"/>
    <xf numFmtId="3" fontId="7" fillId="0" borderId="37" xfId="0" applyNumberFormat="1" applyFont="1" applyBorder="1" applyAlignment="1" applyProtection="1">
      <alignment horizontal="right"/>
    </xf>
    <xf numFmtId="0" fontId="7" fillId="0" borderId="3" xfId="0" applyFont="1" applyBorder="1"/>
    <xf numFmtId="3" fontId="251" fillId="0" borderId="0" xfId="0" applyNumberFormat="1" applyFont="1" applyBorder="1" applyProtection="1"/>
    <xf numFmtId="3" fontId="7" fillId="0" borderId="0" xfId="0" applyNumberFormat="1" applyFont="1" applyBorder="1" applyProtection="1"/>
    <xf numFmtId="0" fontId="7" fillId="0" borderId="0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7" fillId="0" borderId="0" xfId="0" applyFont="1" applyBorder="1" applyProtection="1">
      <protection locked="0"/>
    </xf>
    <xf numFmtId="3" fontId="7" fillId="0" borderId="25" xfId="0" applyNumberFormat="1" applyFont="1" applyBorder="1" applyProtection="1">
      <protection locked="0"/>
    </xf>
    <xf numFmtId="268" fontId="7" fillId="0" borderId="0" xfId="2458" applyNumberFormat="1" applyFont="1" applyBorder="1" applyAlignment="1">
      <alignment horizontal="right"/>
    </xf>
    <xf numFmtId="268" fontId="7" fillId="0" borderId="0" xfId="1877" applyNumberFormat="1" applyFont="1" applyBorder="1" applyAlignment="1">
      <alignment horizontal="right"/>
    </xf>
    <xf numFmtId="268" fontId="7" fillId="0" borderId="18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>
      <alignment horizontal="center"/>
    </xf>
    <xf numFmtId="3" fontId="7" fillId="0" borderId="3" xfId="0" applyNumberFormat="1" applyFont="1" applyBorder="1"/>
    <xf numFmtId="3" fontId="12" fillId="69" borderId="38" xfId="2458" applyNumberFormat="1" applyFont="1" applyFill="1" applyBorder="1" applyAlignment="1">
      <alignment horizontal="center" vertical="center" wrapText="1"/>
    </xf>
    <xf numFmtId="3" fontId="12" fillId="69" borderId="11" xfId="2458" applyNumberFormat="1" applyFont="1" applyFill="1" applyBorder="1" applyAlignment="1">
      <alignment horizontal="centerContinuous" vertical="center"/>
    </xf>
    <xf numFmtId="0" fontId="7" fillId="0" borderId="0" xfId="0" applyNumberFormat="1" applyFont="1" applyAlignment="1" applyProtection="1">
      <alignment horizontal="left"/>
      <protection locked="0"/>
    </xf>
    <xf numFmtId="178" fontId="7" fillId="0" borderId="0" xfId="0" applyNumberFormat="1" applyFont="1" applyProtection="1">
      <protection locked="0"/>
    </xf>
    <xf numFmtId="176" fontId="7" fillId="0" borderId="0" xfId="0" applyNumberFormat="1" applyFont="1" applyBorder="1" applyProtection="1">
      <protection locked="0"/>
    </xf>
    <xf numFmtId="178" fontId="7" fillId="0" borderId="0" xfId="0" applyNumberFormat="1" applyFont="1" applyBorder="1" applyProtection="1">
      <protection locked="0"/>
    </xf>
    <xf numFmtId="176" fontId="7" fillId="0" borderId="0" xfId="0" applyNumberFormat="1" applyFont="1" applyFill="1" applyBorder="1" applyProtection="1">
      <protection locked="0"/>
    </xf>
    <xf numFmtId="178" fontId="7" fillId="0" borderId="0" xfId="0" applyNumberFormat="1" applyFont="1" applyFill="1" applyBorder="1" applyProtection="1">
      <protection locked="0"/>
    </xf>
    <xf numFmtId="178" fontId="7" fillId="0" borderId="0" xfId="0" applyNumberFormat="1" applyFont="1" applyBorder="1" applyProtection="1">
      <protection hidden="1"/>
    </xf>
    <xf numFmtId="0" fontId="7" fillId="0" borderId="0" xfId="0" applyFont="1" applyBorder="1" applyAlignment="1" applyProtection="1">
      <alignment horizontal="left"/>
      <protection locked="0"/>
    </xf>
    <xf numFmtId="176" fontId="7" fillId="0" borderId="0" xfId="0" applyNumberFormat="1" applyFont="1" applyProtection="1">
      <protection hidden="1"/>
    </xf>
    <xf numFmtId="176" fontId="7" fillId="0" borderId="0" xfId="0" applyNumberFormat="1" applyFont="1" applyProtection="1">
      <protection locked="0"/>
    </xf>
    <xf numFmtId="179" fontId="7" fillId="0" borderId="0" xfId="0" applyNumberFormat="1" applyFont="1" applyBorder="1" applyAlignment="1" applyProtection="1">
      <alignment horizontal="right"/>
      <protection locked="0"/>
    </xf>
    <xf numFmtId="176" fontId="7" fillId="0" borderId="0" xfId="0" applyNumberFormat="1" applyFont="1" applyBorder="1" applyAlignment="1" applyProtection="1">
      <alignment horizontal="right"/>
      <protection locked="0"/>
    </xf>
    <xf numFmtId="179" fontId="7" fillId="0" borderId="0" xfId="0" applyNumberFormat="1" applyFont="1" applyAlignment="1" applyProtection="1">
      <alignment horizontal="right"/>
      <protection locked="0"/>
    </xf>
    <xf numFmtId="176" fontId="12" fillId="69" borderId="39" xfId="0" applyNumberFormat="1" applyFont="1" applyFill="1" applyBorder="1" applyAlignment="1" applyProtection="1">
      <alignment vertical="center" wrapText="1"/>
      <protection locked="0"/>
    </xf>
    <xf numFmtId="176" fontId="12" fillId="69" borderId="38" xfId="0" applyNumberFormat="1" applyFont="1" applyFill="1" applyBorder="1" applyAlignment="1" applyProtection="1">
      <alignment vertical="center" wrapText="1"/>
      <protection locked="0"/>
    </xf>
    <xf numFmtId="3" fontId="12" fillId="69" borderId="40" xfId="2458" applyNumberFormat="1" applyFont="1" applyFill="1" applyBorder="1" applyAlignment="1">
      <alignment horizontal="centerContinuous" vertical="center"/>
    </xf>
    <xf numFmtId="3" fontId="12" fillId="69" borderId="41" xfId="2458" applyNumberFormat="1" applyFont="1" applyFill="1" applyBorder="1" applyAlignment="1">
      <alignment horizontal="centerContinuous" vertical="center"/>
    </xf>
    <xf numFmtId="176" fontId="12" fillId="69" borderId="39" xfId="0" applyNumberFormat="1" applyFont="1" applyFill="1" applyBorder="1" applyAlignment="1" applyProtection="1">
      <alignment horizontal="center" vertical="center"/>
      <protection locked="0"/>
    </xf>
    <xf numFmtId="178" fontId="12" fillId="69" borderId="38" xfId="0" applyNumberFormat="1" applyFont="1" applyFill="1" applyBorder="1" applyAlignment="1" applyProtection="1">
      <alignment horizontal="center" vertical="center"/>
      <protection locked="0"/>
    </xf>
    <xf numFmtId="3" fontId="12" fillId="69" borderId="42" xfId="2458" applyNumberFormat="1" applyFont="1" applyFill="1" applyBorder="1" applyAlignment="1">
      <alignment horizontal="centerContinuous" vertical="center"/>
    </xf>
    <xf numFmtId="3" fontId="12" fillId="69" borderId="60" xfId="2458" applyNumberFormat="1" applyFont="1" applyFill="1" applyBorder="1" applyAlignment="1">
      <alignment horizontal="centerContinuous" vertical="center"/>
    </xf>
    <xf numFmtId="3" fontId="12" fillId="69" borderId="43" xfId="2458" applyNumberFormat="1" applyFont="1" applyFill="1" applyBorder="1" applyAlignment="1">
      <alignment horizontal="centerContinuous" vertical="center"/>
    </xf>
    <xf numFmtId="3" fontId="252" fillId="69" borderId="11" xfId="2458" applyNumberFormat="1" applyFont="1" applyFill="1" applyBorder="1" applyAlignment="1">
      <alignment vertical="center"/>
    </xf>
    <xf numFmtId="3" fontId="12" fillId="69" borderId="1" xfId="2458" applyNumberFormat="1" applyFont="1" applyFill="1" applyBorder="1" applyAlignment="1">
      <alignment horizontal="centerContinuous" vertical="center"/>
    </xf>
    <xf numFmtId="176" fontId="12" fillId="69" borderId="44" xfId="0" applyNumberFormat="1" applyFont="1" applyFill="1" applyBorder="1" applyAlignment="1" applyProtection="1">
      <alignment vertical="center"/>
      <protection locked="0"/>
    </xf>
    <xf numFmtId="178" fontId="12" fillId="69" borderId="45" xfId="0" applyNumberFormat="1" applyFont="1" applyFill="1" applyBorder="1" applyAlignment="1" applyProtection="1">
      <alignment horizontal="center" vertical="center"/>
      <protection locked="0"/>
    </xf>
    <xf numFmtId="176" fontId="12" fillId="69" borderId="44" xfId="0" applyNumberFormat="1" applyFont="1" applyFill="1" applyBorder="1" applyAlignment="1" applyProtection="1">
      <alignment vertical="center" wrapText="1"/>
      <protection locked="0"/>
    </xf>
    <xf numFmtId="178" fontId="12" fillId="69" borderId="6" xfId="0" applyNumberFormat="1" applyFont="1" applyFill="1" applyBorder="1" applyAlignment="1" applyProtection="1">
      <alignment horizontal="center" vertical="center"/>
      <protection locked="0"/>
    </xf>
    <xf numFmtId="176" fontId="12" fillId="69" borderId="9" xfId="0" applyNumberFormat="1" applyFont="1" applyFill="1" applyBorder="1" applyAlignment="1" applyProtection="1">
      <alignment vertical="center"/>
      <protection locked="0"/>
    </xf>
    <xf numFmtId="178" fontId="12" fillId="69" borderId="46" xfId="0" applyNumberFormat="1" applyFont="1" applyFill="1" applyBorder="1" applyAlignment="1" applyProtection="1">
      <alignment horizontal="center" vertical="center"/>
      <protection locked="0"/>
    </xf>
    <xf numFmtId="176" fontId="12" fillId="69" borderId="0" xfId="0" applyNumberFormat="1" applyFont="1" applyFill="1" applyBorder="1" applyAlignment="1" applyProtection="1">
      <alignment horizontal="center" vertical="center"/>
      <protection locked="0"/>
    </xf>
    <xf numFmtId="176" fontId="12" fillId="69" borderId="21" xfId="0" applyNumberFormat="1" applyFont="1" applyFill="1" applyBorder="1" applyAlignment="1" applyProtection="1">
      <alignment horizontal="center" vertical="center"/>
      <protection locked="0"/>
    </xf>
    <xf numFmtId="0" fontId="7" fillId="0" borderId="35" xfId="0" applyNumberFormat="1" applyFont="1" applyBorder="1" applyAlignment="1" applyProtection="1">
      <alignment horizontal="center"/>
      <protection locked="0"/>
    </xf>
    <xf numFmtId="176" fontId="7" fillId="0" borderId="35" xfId="0" applyNumberFormat="1" applyFont="1" applyBorder="1" applyAlignment="1" applyProtection="1">
      <alignment horizontal="right"/>
      <protection locked="0"/>
    </xf>
    <xf numFmtId="178" fontId="7" fillId="0" borderId="35" xfId="0" applyNumberFormat="1" applyFont="1" applyBorder="1" applyAlignment="1" applyProtection="1">
      <alignment horizontal="right"/>
      <protection locked="0"/>
    </xf>
    <xf numFmtId="176" fontId="7" fillId="0" borderId="35" xfId="0" applyNumberFormat="1" applyFont="1" applyFill="1" applyBorder="1" applyAlignment="1" applyProtection="1">
      <alignment horizontal="right"/>
      <protection locked="0"/>
    </xf>
    <xf numFmtId="178" fontId="7" fillId="0" borderId="35" xfId="0" applyNumberFormat="1" applyFont="1" applyFill="1" applyBorder="1" applyAlignment="1" applyProtection="1">
      <alignment horizontal="right"/>
      <protection locked="0"/>
    </xf>
    <xf numFmtId="176" fontId="7" fillId="0" borderId="25" xfId="0" applyNumberFormat="1" applyFont="1" applyBorder="1" applyAlignment="1" applyProtection="1">
      <alignment horizontal="right"/>
      <protection locked="0"/>
    </xf>
    <xf numFmtId="176" fontId="7" fillId="0" borderId="34" xfId="0" applyNumberFormat="1" applyFont="1" applyBorder="1" applyAlignment="1" applyProtection="1">
      <alignment horizontal="right"/>
      <protection locked="0"/>
    </xf>
    <xf numFmtId="176" fontId="7" fillId="0" borderId="45" xfId="0" applyNumberFormat="1" applyFont="1" applyBorder="1" applyAlignment="1" applyProtection="1">
      <alignment horizontal="right"/>
      <protection locked="0"/>
    </xf>
    <xf numFmtId="3" fontId="7" fillId="0" borderId="23" xfId="0" applyNumberFormat="1" applyFont="1" applyBorder="1" applyAlignment="1">
      <alignment horizontal="left"/>
    </xf>
    <xf numFmtId="270" fontId="7" fillId="0" borderId="23" xfId="0" applyNumberFormat="1" applyFont="1" applyBorder="1" applyAlignment="1" applyProtection="1">
      <alignment horizontal="right"/>
      <protection hidden="1"/>
    </xf>
    <xf numFmtId="269" fontId="7" fillId="0" borderId="23" xfId="0" applyNumberFormat="1" applyFont="1" applyBorder="1" applyAlignment="1" applyProtection="1">
      <alignment horizontal="right"/>
      <protection hidden="1"/>
    </xf>
    <xf numFmtId="268" fontId="7" fillId="0" borderId="23" xfId="0" applyNumberFormat="1" applyFont="1" applyFill="1" applyBorder="1" applyAlignment="1">
      <alignment horizontal="right"/>
    </xf>
    <xf numFmtId="270" fontId="7" fillId="0" borderId="23" xfId="0" applyNumberFormat="1" applyFont="1" applyFill="1" applyBorder="1" applyAlignment="1" applyProtection="1">
      <alignment horizontal="right"/>
      <protection hidden="1"/>
    </xf>
    <xf numFmtId="269" fontId="7" fillId="0" borderId="23" xfId="0" applyNumberFormat="1" applyFont="1" applyBorder="1" applyAlignment="1">
      <alignment horizontal="right"/>
    </xf>
    <xf numFmtId="268" fontId="7" fillId="0" borderId="21" xfId="0" applyNumberFormat="1" applyFont="1" applyBorder="1" applyAlignment="1">
      <alignment horizontal="right"/>
    </xf>
    <xf numFmtId="269" fontId="7" fillId="0" borderId="23" xfId="0" applyNumberFormat="1" applyFont="1" applyFill="1" applyBorder="1" applyAlignment="1" applyProtection="1">
      <alignment horizontal="right"/>
      <protection hidden="1"/>
    </xf>
    <xf numFmtId="3" fontId="7" fillId="0" borderId="23" xfId="0" applyNumberFormat="1" applyFont="1" applyFill="1" applyBorder="1" applyAlignment="1">
      <alignment horizontal="left"/>
    </xf>
    <xf numFmtId="0" fontId="7" fillId="0" borderId="37" xfId="0" applyNumberFormat="1" applyFont="1" applyBorder="1" applyAlignment="1" applyProtection="1">
      <alignment horizontal="center"/>
      <protection hidden="1"/>
    </xf>
    <xf numFmtId="3" fontId="7" fillId="0" borderId="37" xfId="0" applyNumberFormat="1" applyFont="1" applyBorder="1" applyAlignment="1" applyProtection="1">
      <alignment horizontal="right"/>
      <protection hidden="1"/>
    </xf>
    <xf numFmtId="178" fontId="7" fillId="0" borderId="37" xfId="0" applyNumberFormat="1" applyFont="1" applyBorder="1" applyAlignment="1" applyProtection="1">
      <alignment horizontal="right"/>
      <protection hidden="1"/>
    </xf>
    <xf numFmtId="3" fontId="7" fillId="0" borderId="37" xfId="0" applyNumberFormat="1" applyFont="1" applyFill="1" applyBorder="1" applyAlignment="1" applyProtection="1">
      <alignment horizontal="right"/>
      <protection hidden="1"/>
    </xf>
    <xf numFmtId="178" fontId="7" fillId="0" borderId="37" xfId="0" applyNumberFormat="1" applyFont="1" applyFill="1" applyBorder="1" applyAlignment="1" applyProtection="1">
      <alignment horizontal="right"/>
      <protection hidden="1"/>
    </xf>
    <xf numFmtId="3" fontId="7" fillId="0" borderId="3" xfId="0" applyNumberFormat="1" applyFont="1" applyBorder="1" applyAlignment="1" applyProtection="1">
      <alignment horizontal="right"/>
      <protection hidden="1"/>
    </xf>
    <xf numFmtId="177" fontId="7" fillId="0" borderId="37" xfId="0" applyNumberFormat="1" applyFont="1" applyBorder="1" applyAlignment="1" applyProtection="1">
      <alignment horizontal="right"/>
      <protection hidden="1"/>
    </xf>
    <xf numFmtId="3" fontId="7" fillId="0" borderId="36" xfId="0" applyNumberFormat="1" applyFont="1" applyBorder="1" applyAlignment="1" applyProtection="1">
      <alignment horizontal="right"/>
      <protection hidden="1"/>
    </xf>
    <xf numFmtId="3" fontId="7" fillId="0" borderId="47" xfId="0" applyNumberFormat="1" applyFont="1" applyBorder="1" applyAlignment="1" applyProtection="1">
      <alignment horizontal="right"/>
      <protection hidden="1"/>
    </xf>
    <xf numFmtId="0" fontId="7" fillId="0" borderId="0" xfId="0" applyNumberFormat="1" applyFont="1" applyAlignment="1" applyProtection="1">
      <alignment horizontal="left"/>
      <protection hidden="1"/>
    </xf>
    <xf numFmtId="178" fontId="7" fillId="0" borderId="0" xfId="0" applyNumberFormat="1" applyFont="1" applyProtection="1">
      <protection hidden="1"/>
    </xf>
    <xf numFmtId="176" fontId="7" fillId="0" borderId="0" xfId="0" applyNumberFormat="1" applyFont="1" applyBorder="1" applyProtection="1">
      <protection hidden="1"/>
    </xf>
    <xf numFmtId="3" fontId="7" fillId="0" borderId="0" xfId="0" applyNumberFormat="1" applyFont="1" applyFill="1" applyBorder="1" applyProtection="1">
      <protection hidden="1"/>
    </xf>
    <xf numFmtId="178" fontId="7" fillId="0" borderId="0" xfId="0" applyNumberFormat="1" applyFont="1" applyFill="1" applyProtection="1">
      <protection hidden="1"/>
    </xf>
    <xf numFmtId="3" fontId="7" fillId="0" borderId="0" xfId="0" applyNumberFormat="1" applyFont="1" applyAlignment="1" applyProtection="1">
      <alignment horizontal="left"/>
      <protection hidden="1"/>
    </xf>
    <xf numFmtId="3" fontId="7" fillId="0" borderId="0" xfId="0" applyNumberFormat="1" applyFont="1" applyProtection="1">
      <protection hidden="1"/>
    </xf>
    <xf numFmtId="177" fontId="7" fillId="0" borderId="0" xfId="0" applyNumberFormat="1" applyFont="1" applyProtection="1">
      <protection hidden="1"/>
    </xf>
    <xf numFmtId="3" fontId="7" fillId="0" borderId="0" xfId="0" applyNumberFormat="1" applyFont="1" applyBorder="1" applyProtection="1">
      <protection hidden="1"/>
    </xf>
    <xf numFmtId="3" fontId="7" fillId="0" borderId="0" xfId="0" applyNumberFormat="1" applyFont="1" applyFill="1" applyProtection="1">
      <protection hidden="1"/>
    </xf>
    <xf numFmtId="176" fontId="12" fillId="69" borderId="45" xfId="0" applyNumberFormat="1" applyFont="1" applyFill="1" applyBorder="1" applyAlignment="1" applyProtection="1">
      <alignment vertical="center" wrapText="1"/>
      <protection locked="0"/>
    </xf>
    <xf numFmtId="176" fontId="12" fillId="69" borderId="34" xfId="0" applyNumberFormat="1" applyFont="1" applyFill="1" applyBorder="1" applyAlignment="1" applyProtection="1">
      <alignment vertical="center" wrapText="1"/>
      <protection locked="0"/>
    </xf>
    <xf numFmtId="176" fontId="12" fillId="69" borderId="45" xfId="0" applyNumberFormat="1" applyFont="1" applyFill="1" applyBorder="1" applyAlignment="1" applyProtection="1">
      <alignment vertical="center"/>
      <protection locked="0"/>
    </xf>
    <xf numFmtId="176" fontId="12" fillId="69" borderId="34" xfId="0" applyNumberFormat="1" applyFont="1" applyFill="1" applyBorder="1" applyAlignment="1" applyProtection="1">
      <alignment vertical="center"/>
      <protection locked="0"/>
    </xf>
    <xf numFmtId="0" fontId="7" fillId="0" borderId="25" xfId="0" applyFont="1" applyBorder="1"/>
    <xf numFmtId="3" fontId="7" fillId="0" borderId="25" xfId="0" applyNumberFormat="1" applyFont="1" applyBorder="1"/>
    <xf numFmtId="176" fontId="7" fillId="0" borderId="0" xfId="1877" applyNumberFormat="1" applyFont="1"/>
    <xf numFmtId="0" fontId="7" fillId="0" borderId="35" xfId="0" applyFont="1" applyBorder="1"/>
    <xf numFmtId="3" fontId="7" fillId="0" borderId="35" xfId="0" applyNumberFormat="1" applyFont="1" applyBorder="1"/>
    <xf numFmtId="3" fontId="7" fillId="0" borderId="45" xfId="0" applyNumberFormat="1" applyFont="1" applyBorder="1"/>
    <xf numFmtId="268" fontId="7" fillId="0" borderId="21" xfId="1877" applyNumberFormat="1" applyFont="1" applyBorder="1" applyAlignment="1">
      <alignment horizontal="right"/>
    </xf>
    <xf numFmtId="3" fontId="7" fillId="0" borderId="3" xfId="1877" applyNumberFormat="1" applyFont="1" applyBorder="1"/>
    <xf numFmtId="3" fontId="7" fillId="0" borderId="37" xfId="1877" applyNumberFormat="1" applyFont="1" applyBorder="1"/>
    <xf numFmtId="176" fontId="7" fillId="0" borderId="0" xfId="2458" applyNumberFormat="1" applyFont="1"/>
    <xf numFmtId="176" fontId="7" fillId="0" borderId="0" xfId="2458" applyNumberFormat="1" applyFont="1" applyAlignment="1">
      <alignment horizontal="right"/>
    </xf>
    <xf numFmtId="0" fontId="7" fillId="0" borderId="35" xfId="2458" applyNumberFormat="1" applyFont="1" applyBorder="1"/>
    <xf numFmtId="176" fontId="7" fillId="0" borderId="25" xfId="2458" applyNumberFormat="1" applyFont="1" applyBorder="1"/>
    <xf numFmtId="0" fontId="7" fillId="0" borderId="0" xfId="2458" applyNumberFormat="1" applyFont="1"/>
    <xf numFmtId="176" fontId="7" fillId="0" borderId="35" xfId="2458" applyNumberFormat="1" applyFont="1" applyBorder="1"/>
    <xf numFmtId="0" fontId="7" fillId="0" borderId="37" xfId="2458" applyNumberFormat="1" applyFont="1" applyBorder="1" applyAlignment="1">
      <alignment horizontal="center"/>
    </xf>
    <xf numFmtId="3" fontId="253" fillId="0" borderId="3" xfId="2458" applyNumberFormat="1" applyFont="1" applyBorder="1"/>
    <xf numFmtId="3" fontId="253" fillId="0" borderId="37" xfId="2458" applyNumberFormat="1" applyFont="1" applyBorder="1"/>
    <xf numFmtId="3" fontId="7" fillId="0" borderId="3" xfId="2458" applyNumberFormat="1" applyFont="1" applyBorder="1"/>
    <xf numFmtId="0" fontId="12" fillId="69" borderId="23" xfId="2458" applyNumberFormat="1" applyFont="1" applyFill="1" applyBorder="1" applyAlignment="1" applyProtection="1">
      <alignment horizontal="center"/>
      <protection locked="0"/>
    </xf>
    <xf numFmtId="0" fontId="12" fillId="69" borderId="48" xfId="2458" applyNumberFormat="1" applyFont="1" applyFill="1" applyBorder="1" applyAlignment="1" applyProtection="1">
      <alignment horizontal="center"/>
      <protection locked="0"/>
    </xf>
    <xf numFmtId="176" fontId="7" fillId="0" borderId="0" xfId="1877" applyNumberFormat="1" applyFont="1" applyBorder="1"/>
    <xf numFmtId="49" fontId="7" fillId="0" borderId="0" xfId="0" applyNumberFormat="1" applyFont="1" applyBorder="1" applyAlignment="1">
      <alignment horizontal="right"/>
    </xf>
    <xf numFmtId="49" fontId="7" fillId="0" borderId="0" xfId="0" applyNumberFormat="1" applyFont="1" applyAlignment="1">
      <alignment horizontal="right"/>
    </xf>
    <xf numFmtId="49" fontId="7" fillId="0" borderId="23" xfId="0" applyNumberFormat="1" applyFont="1" applyBorder="1"/>
    <xf numFmtId="176" fontId="7" fillId="0" borderId="45" xfId="1877" applyNumberFormat="1" applyFont="1" applyBorder="1"/>
    <xf numFmtId="176" fontId="7" fillId="0" borderId="25" xfId="1877" applyNumberFormat="1" applyFont="1" applyBorder="1"/>
    <xf numFmtId="176" fontId="7" fillId="0" borderId="35" xfId="1877" applyNumberFormat="1" applyFont="1" applyBorder="1"/>
    <xf numFmtId="3" fontId="7" fillId="0" borderId="18" xfId="0" applyNumberFormat="1" applyFont="1" applyBorder="1" applyAlignment="1">
      <alignment horizontal="left"/>
    </xf>
    <xf numFmtId="268" fontId="7" fillId="0" borderId="21" xfId="1908" applyNumberFormat="1" applyFont="1" applyBorder="1" applyAlignment="1">
      <alignment horizontal="right"/>
    </xf>
    <xf numFmtId="268" fontId="7" fillId="0" borderId="0" xfId="1908" applyNumberFormat="1" applyFont="1" applyBorder="1" applyAlignment="1">
      <alignment horizontal="right"/>
    </xf>
    <xf numFmtId="268" fontId="7" fillId="0" borderId="23" xfId="1908" applyNumberFormat="1" applyFont="1" applyBorder="1" applyAlignment="1">
      <alignment horizontal="right"/>
    </xf>
    <xf numFmtId="268" fontId="7" fillId="0" borderId="21" xfId="1908" applyNumberFormat="1" applyFont="1" applyFill="1" applyBorder="1" applyAlignment="1">
      <alignment horizontal="right"/>
    </xf>
    <xf numFmtId="268" fontId="7" fillId="0" borderId="0" xfId="1908" applyNumberFormat="1" applyFont="1" applyFill="1" applyBorder="1" applyAlignment="1">
      <alignment horizontal="right"/>
    </xf>
    <xf numFmtId="268" fontId="7" fillId="0" borderId="23" xfId="1908" applyNumberFormat="1" applyFont="1" applyFill="1" applyBorder="1" applyAlignment="1">
      <alignment horizontal="right"/>
    </xf>
    <xf numFmtId="3" fontId="7" fillId="0" borderId="18" xfId="0" applyNumberFormat="1" applyFont="1" applyFill="1" applyBorder="1" applyAlignment="1">
      <alignment horizontal="left"/>
    </xf>
    <xf numFmtId="0" fontId="12" fillId="0" borderId="18" xfId="0" applyNumberFormat="1" applyFont="1" applyBorder="1" applyAlignment="1">
      <alignment horizontal="left"/>
    </xf>
    <xf numFmtId="49" fontId="7" fillId="0" borderId="0" xfId="0" applyNumberFormat="1" applyFont="1"/>
    <xf numFmtId="49" fontId="7" fillId="69" borderId="23" xfId="0" applyNumberFormat="1" applyFont="1" applyFill="1" applyBorder="1"/>
    <xf numFmtId="49" fontId="7" fillId="69" borderId="2" xfId="0" applyNumberFormat="1" applyFont="1" applyFill="1" applyBorder="1"/>
    <xf numFmtId="49" fontId="12" fillId="69" borderId="23" xfId="0" applyNumberFormat="1" applyFont="1" applyFill="1" applyBorder="1"/>
    <xf numFmtId="49" fontId="12" fillId="69" borderId="2" xfId="0" applyNumberFormat="1" applyFont="1" applyFill="1" applyBorder="1"/>
    <xf numFmtId="176" fontId="7" fillId="0" borderId="23" xfId="1877" applyNumberFormat="1" applyFont="1" applyBorder="1"/>
    <xf numFmtId="0" fontId="7" fillId="0" borderId="37" xfId="1877" applyNumberFormat="1" applyFont="1" applyBorder="1" applyAlignment="1">
      <alignment horizontal="center"/>
    </xf>
    <xf numFmtId="3" fontId="7" fillId="0" borderId="47" xfId="1877" applyNumberFormat="1" applyFont="1" applyBorder="1"/>
    <xf numFmtId="49" fontId="12" fillId="69" borderId="48" xfId="0" applyNumberFormat="1" applyFont="1" applyFill="1" applyBorder="1"/>
    <xf numFmtId="3" fontId="65" fillId="0" borderId="0" xfId="0" applyNumberFormat="1" applyFont="1"/>
    <xf numFmtId="3" fontId="65" fillId="0" borderId="25" xfId="0" applyNumberFormat="1" applyFont="1" applyBorder="1"/>
    <xf numFmtId="3" fontId="65" fillId="0" borderId="45" xfId="0" applyNumberFormat="1" applyFont="1" applyBorder="1"/>
    <xf numFmtId="268" fontId="7" fillId="0" borderId="23" xfId="1877" applyNumberFormat="1" applyFont="1" applyFill="1" applyBorder="1" applyAlignment="1">
      <alignment horizontal="right"/>
    </xf>
    <xf numFmtId="176" fontId="7" fillId="0" borderId="37" xfId="1877" applyNumberFormat="1" applyFont="1" applyBorder="1" applyAlignment="1">
      <alignment horizontal="center"/>
    </xf>
    <xf numFmtId="3" fontId="7" fillId="0" borderId="47" xfId="0" applyNumberFormat="1" applyFont="1" applyBorder="1"/>
    <xf numFmtId="49" fontId="12" fillId="69" borderId="23" xfId="0" applyNumberFormat="1" applyFont="1" applyFill="1" applyBorder="1" applyAlignment="1"/>
    <xf numFmtId="49" fontId="12" fillId="69" borderId="2" xfId="0" applyNumberFormat="1" applyFont="1" applyFill="1" applyBorder="1" applyAlignment="1"/>
    <xf numFmtId="49" fontId="12" fillId="69" borderId="48" xfId="0" applyNumberFormat="1" applyFont="1" applyFill="1" applyBorder="1" applyAlignment="1"/>
    <xf numFmtId="3" fontId="12" fillId="69" borderId="34" xfId="0" applyNumberFormat="1" applyFont="1" applyFill="1" applyBorder="1" applyAlignment="1">
      <alignment horizontal="centerContinuous" vertical="center"/>
    </xf>
    <xf numFmtId="3" fontId="7" fillId="0" borderId="0" xfId="1877" applyNumberFormat="1" applyFont="1"/>
    <xf numFmtId="3" fontId="7" fillId="0" borderId="0" xfId="1877" applyNumberFormat="1" applyFont="1" applyBorder="1"/>
    <xf numFmtId="3" fontId="7" fillId="0" borderId="0" xfId="1877" applyNumberFormat="1" applyFont="1" applyAlignment="1">
      <alignment horizontal="right"/>
    </xf>
    <xf numFmtId="0" fontId="7" fillId="69" borderId="39" xfId="0" applyFont="1" applyFill="1" applyBorder="1" applyAlignment="1">
      <alignment horizontal="centerContinuous"/>
    </xf>
    <xf numFmtId="3" fontId="12" fillId="69" borderId="42" xfId="1877" applyNumberFormat="1" applyFont="1" applyFill="1" applyBorder="1" applyAlignment="1">
      <alignment horizontal="centerContinuous" vertical="center"/>
    </xf>
    <xf numFmtId="3" fontId="12" fillId="69" borderId="41" xfId="1877" applyNumberFormat="1" applyFont="1" applyFill="1" applyBorder="1" applyAlignment="1">
      <alignment horizontal="centerContinuous" vertical="center"/>
    </xf>
    <xf numFmtId="0" fontId="7" fillId="69" borderId="21" xfId="0" applyFont="1" applyFill="1" applyBorder="1" applyAlignment="1">
      <alignment horizontal="centerContinuous"/>
    </xf>
    <xf numFmtId="3" fontId="7" fillId="0" borderId="45" xfId="1877" applyNumberFormat="1" applyFont="1" applyBorder="1"/>
    <xf numFmtId="3" fontId="7" fillId="0" borderId="35" xfId="1877" applyNumberFormat="1" applyFont="1" applyBorder="1"/>
    <xf numFmtId="3" fontId="7" fillId="0" borderId="25" xfId="1877" applyNumberFormat="1" applyFont="1" applyBorder="1"/>
    <xf numFmtId="268" fontId="7" fillId="0" borderId="0" xfId="0" applyNumberFormat="1" applyFont="1" applyFill="1" applyBorder="1" applyAlignment="1">
      <alignment horizontal="right"/>
    </xf>
    <xf numFmtId="268" fontId="7" fillId="0" borderId="21" xfId="0" applyNumberFormat="1" applyFont="1" applyFill="1" applyBorder="1" applyAlignment="1">
      <alignment horizontal="right"/>
    </xf>
    <xf numFmtId="0" fontId="7" fillId="0" borderId="34" xfId="0" applyFont="1" applyBorder="1" applyAlignment="1" applyProtection="1">
      <alignment horizontal="center"/>
      <protection locked="0"/>
    </xf>
    <xf numFmtId="0" fontId="7" fillId="0" borderId="45" xfId="0" applyFont="1" applyBorder="1" applyProtection="1">
      <protection locked="0"/>
    </xf>
    <xf numFmtId="49" fontId="7" fillId="0" borderId="36" xfId="0" applyNumberFormat="1" applyFont="1" applyBorder="1" applyAlignment="1">
      <alignment horizontal="center"/>
    </xf>
    <xf numFmtId="0" fontId="7" fillId="0" borderId="37" xfId="0" applyFont="1" applyBorder="1"/>
    <xf numFmtId="0" fontId="7" fillId="0" borderId="47" xfId="0" applyFont="1" applyBorder="1"/>
    <xf numFmtId="3" fontId="7" fillId="0" borderId="0" xfId="0" applyNumberFormat="1" applyFont="1" applyProtection="1">
      <protection locked="0"/>
    </xf>
    <xf numFmtId="3" fontId="7" fillId="0" borderId="0" xfId="0" applyNumberFormat="1" applyFont="1" applyBorder="1" applyProtection="1">
      <protection locked="0"/>
    </xf>
    <xf numFmtId="0" fontId="12" fillId="69" borderId="21" xfId="0" applyFont="1" applyFill="1" applyBorder="1" applyAlignment="1" applyProtection="1">
      <alignment horizontal="center"/>
      <protection locked="0"/>
    </xf>
    <xf numFmtId="0" fontId="12" fillId="69" borderId="44" xfId="0" applyFont="1" applyFill="1" applyBorder="1" applyAlignment="1" applyProtection="1">
      <alignment horizontal="center"/>
      <protection locked="0"/>
    </xf>
    <xf numFmtId="49" fontId="7" fillId="0" borderId="0" xfId="0" applyNumberFormat="1" applyFont="1" applyProtection="1">
      <protection locked="0"/>
    </xf>
    <xf numFmtId="0" fontId="65" fillId="0" borderId="0" xfId="0" applyFont="1" applyProtection="1">
      <protection locked="0"/>
    </xf>
    <xf numFmtId="0" fontId="12" fillId="69" borderId="39" xfId="0" applyFont="1" applyFill="1" applyBorder="1" applyAlignment="1" applyProtection="1">
      <alignment horizontal="center"/>
      <protection locked="0"/>
    </xf>
    <xf numFmtId="0" fontId="12" fillId="69" borderId="6" xfId="0" applyFont="1" applyFill="1" applyBorder="1" applyAlignment="1" applyProtection="1">
      <alignment horizontal="center" vertical="center"/>
      <protection locked="0"/>
    </xf>
    <xf numFmtId="0" fontId="12" fillId="69" borderId="1" xfId="0" applyFont="1" applyFill="1" applyBorder="1" applyAlignment="1" applyProtection="1">
      <alignment horizontal="center" vertical="center"/>
      <protection locked="0"/>
    </xf>
    <xf numFmtId="0" fontId="12" fillId="69" borderId="46" xfId="0" applyFont="1" applyFill="1" applyBorder="1" applyAlignment="1" applyProtection="1">
      <alignment horizontal="center" vertical="center"/>
      <protection locked="0"/>
    </xf>
    <xf numFmtId="49" fontId="7" fillId="69" borderId="48" xfId="0" applyNumberFormat="1" applyFont="1" applyFill="1" applyBorder="1"/>
    <xf numFmtId="3" fontId="65" fillId="0" borderId="0" xfId="0" applyNumberFormat="1" applyFont="1" applyBorder="1"/>
    <xf numFmtId="3" fontId="65" fillId="0" borderId="3" xfId="0" applyNumberFormat="1" applyFont="1" applyBorder="1"/>
    <xf numFmtId="3" fontId="65" fillId="0" borderId="47" xfId="0" applyNumberFormat="1" applyFont="1" applyBorder="1"/>
    <xf numFmtId="3" fontId="12" fillId="69" borderId="2" xfId="1877" applyNumberFormat="1" applyFont="1" applyFill="1" applyBorder="1" applyAlignment="1">
      <alignment horizontal="centerContinuous" vertical="center"/>
    </xf>
    <xf numFmtId="3" fontId="12" fillId="69" borderId="23" xfId="1877" applyNumberFormat="1" applyFont="1" applyFill="1" applyBorder="1" applyAlignment="1">
      <alignment horizontal="center" vertical="center"/>
    </xf>
    <xf numFmtId="3" fontId="12" fillId="69" borderId="18" xfId="1877" applyNumberFormat="1" applyFont="1" applyFill="1" applyBorder="1" applyAlignment="1">
      <alignment horizontal="center" vertical="center"/>
    </xf>
    <xf numFmtId="3" fontId="12" fillId="69" borderId="0" xfId="1877" applyNumberFormat="1" applyFont="1" applyFill="1" applyBorder="1" applyAlignment="1">
      <alignment horizontal="center" vertical="center"/>
    </xf>
    <xf numFmtId="0" fontId="7" fillId="0" borderId="0" xfId="0" applyNumberFormat="1" applyFont="1" applyProtection="1">
      <protection locked="0"/>
    </xf>
    <xf numFmtId="0" fontId="7" fillId="0" borderId="0" xfId="0" applyNumberFormat="1" applyFont="1" applyAlignment="1" applyProtection="1">
      <alignment horizontal="right"/>
      <protection locked="0"/>
    </xf>
    <xf numFmtId="0" fontId="12" fillId="69" borderId="48" xfId="0" applyNumberFormat="1" applyFont="1" applyFill="1" applyBorder="1" applyAlignment="1" applyProtection="1">
      <alignment horizontal="center"/>
      <protection locked="0"/>
    </xf>
    <xf numFmtId="0" fontId="12" fillId="69" borderId="23" xfId="0" applyNumberFormat="1" applyFont="1" applyFill="1" applyBorder="1" applyAlignment="1" applyProtection="1">
      <alignment horizontal="center"/>
      <protection locked="0"/>
    </xf>
    <xf numFmtId="0" fontId="12" fillId="69" borderId="46" xfId="0" applyNumberFormat="1" applyFont="1" applyFill="1" applyBorder="1" applyAlignment="1" applyProtection="1">
      <alignment horizontal="centerContinuous" vertical="center"/>
      <protection locked="0"/>
    </xf>
    <xf numFmtId="0" fontId="12" fillId="69" borderId="1" xfId="0" applyNumberFormat="1" applyFont="1" applyFill="1" applyBorder="1" applyAlignment="1" applyProtection="1">
      <alignment horizontal="centerContinuous" vertical="center"/>
      <protection locked="0"/>
    </xf>
    <xf numFmtId="0" fontId="12" fillId="69" borderId="2" xfId="0" applyNumberFormat="1" applyFont="1" applyFill="1" applyBorder="1" applyAlignment="1" applyProtection="1">
      <alignment horizontal="center"/>
      <protection locked="0"/>
    </xf>
    <xf numFmtId="0" fontId="12" fillId="69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21" xfId="0" applyFont="1" applyBorder="1" applyProtection="1">
      <protection locked="0"/>
    </xf>
    <xf numFmtId="3" fontId="7" fillId="0" borderId="34" xfId="0" applyNumberFormat="1" applyFont="1" applyBorder="1" applyProtection="1">
      <protection locked="0"/>
    </xf>
    <xf numFmtId="3" fontId="7" fillId="0" borderId="45" xfId="0" applyNumberFormat="1" applyFont="1" applyBorder="1" applyProtection="1">
      <protection locked="0"/>
    </xf>
    <xf numFmtId="0" fontId="7" fillId="0" borderId="35" xfId="0" applyFont="1" applyFill="1" applyBorder="1"/>
    <xf numFmtId="268" fontId="7" fillId="0" borderId="0" xfId="0" applyNumberFormat="1" applyFont="1" applyBorder="1"/>
    <xf numFmtId="268" fontId="7" fillId="0" borderId="23" xfId="0" applyNumberFormat="1" applyFont="1" applyFill="1" applyBorder="1" applyAlignment="1">
      <alignment horizontal="right" vertical="center"/>
    </xf>
    <xf numFmtId="268" fontId="7" fillId="0" borderId="0" xfId="0" applyNumberFormat="1" applyFont="1" applyFill="1" applyBorder="1" applyAlignment="1" applyProtection="1">
      <alignment horizontal="right"/>
      <protection locked="0"/>
    </xf>
    <xf numFmtId="268" fontId="7" fillId="0" borderId="18" xfId="0" applyNumberFormat="1" applyFont="1" applyFill="1" applyBorder="1" applyAlignment="1">
      <alignment horizontal="right"/>
    </xf>
    <xf numFmtId="268" fontId="7" fillId="0" borderId="0" xfId="0" applyNumberFormat="1" applyFont="1" applyFill="1" applyBorder="1"/>
    <xf numFmtId="0" fontId="7" fillId="0" borderId="37" xfId="0" applyFont="1" applyBorder="1" applyAlignment="1">
      <alignment horizontal="center"/>
    </xf>
    <xf numFmtId="3" fontId="7" fillId="0" borderId="36" xfId="0" applyNumberFormat="1" applyFont="1" applyBorder="1"/>
    <xf numFmtId="0" fontId="7" fillId="0" borderId="0" xfId="0" applyNumberFormat="1" applyFont="1"/>
    <xf numFmtId="3" fontId="12" fillId="69" borderId="1" xfId="2458" applyNumberFormat="1" applyFont="1" applyFill="1" applyBorder="1" applyAlignment="1">
      <alignment vertical="center" wrapText="1"/>
    </xf>
    <xf numFmtId="177" fontId="12" fillId="69" borderId="18" xfId="2458" applyNumberFormat="1" applyFont="1" applyFill="1" applyBorder="1" applyAlignment="1">
      <alignment horizontal="left" vertical="center"/>
    </xf>
    <xf numFmtId="0" fontId="12" fillId="69" borderId="39" xfId="0" applyFont="1" applyFill="1" applyBorder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12" fillId="69" borderId="21" xfId="0" applyFont="1" applyFill="1" applyBorder="1" applyAlignment="1">
      <alignment horizontal="centerContinuous" vertical="center"/>
    </xf>
    <xf numFmtId="0" fontId="12" fillId="69" borderId="35" xfId="2458" applyFont="1" applyFill="1" applyBorder="1" applyAlignment="1">
      <alignment horizontal="center" vertical="center"/>
    </xf>
    <xf numFmtId="177" fontId="4" fillId="0" borderId="45" xfId="2458" applyNumberFormat="1" applyFont="1" applyBorder="1"/>
    <xf numFmtId="177" fontId="4" fillId="0" borderId="47" xfId="2458" applyNumberFormat="1" applyFont="1" applyBorder="1"/>
    <xf numFmtId="177" fontId="12" fillId="0" borderId="45" xfId="2458" applyNumberFormat="1" applyFont="1" applyFill="1" applyBorder="1" applyAlignment="1">
      <alignment horizontal="center" vertical="center"/>
    </xf>
    <xf numFmtId="270" fontId="7" fillId="0" borderId="47" xfId="2458" applyNumberFormat="1" applyFont="1" applyBorder="1"/>
    <xf numFmtId="0" fontId="12" fillId="69" borderId="18" xfId="2458" applyFont="1" applyFill="1" applyBorder="1" applyAlignment="1">
      <alignment horizontal="center" vertical="center"/>
    </xf>
    <xf numFmtId="49" fontId="7" fillId="0" borderId="35" xfId="2458" applyNumberFormat="1" applyFont="1" applyBorder="1" applyAlignment="1">
      <alignment horizontal="right"/>
    </xf>
    <xf numFmtId="270" fontId="4" fillId="0" borderId="23" xfId="2458" applyNumberFormat="1" applyFont="1" applyBorder="1"/>
    <xf numFmtId="3" fontId="4" fillId="0" borderId="21" xfId="2458" applyNumberFormat="1" applyFont="1" applyBorder="1"/>
    <xf numFmtId="41" fontId="7" fillId="0" borderId="23" xfId="1877" applyFont="1" applyBorder="1"/>
    <xf numFmtId="270" fontId="4" fillId="0" borderId="23" xfId="2458" applyNumberFormat="1" applyFont="1" applyBorder="1" applyAlignment="1"/>
    <xf numFmtId="270" fontId="4" fillId="0" borderId="23" xfId="2458" applyNumberFormat="1" applyFont="1" applyBorder="1" applyAlignment="1">
      <alignment horizontal="right"/>
    </xf>
    <xf numFmtId="271" fontId="4" fillId="0" borderId="23" xfId="2458" applyNumberFormat="1" applyFont="1" applyFill="1" applyBorder="1" applyAlignment="1" applyProtection="1">
      <alignment horizontal="right"/>
    </xf>
    <xf numFmtId="270" fontId="4" fillId="0" borderId="23" xfId="2458" applyNumberFormat="1" applyFont="1" applyFill="1" applyBorder="1"/>
    <xf numFmtId="270" fontId="7" fillId="0" borderId="23" xfId="2458" applyNumberFormat="1" applyFont="1" applyBorder="1" applyAlignment="1">
      <alignment horizontal="right"/>
    </xf>
    <xf numFmtId="269" fontId="7" fillId="0" borderId="23" xfId="1877" applyNumberFormat="1" applyFont="1" applyBorder="1" applyAlignment="1">
      <alignment horizontal="right" wrapText="1"/>
    </xf>
    <xf numFmtId="269" fontId="7" fillId="0" borderId="23" xfId="2458" applyNumberFormat="1" applyFont="1" applyBorder="1" applyAlignment="1">
      <alignment horizontal="right"/>
    </xf>
    <xf numFmtId="271" fontId="7" fillId="0" borderId="23" xfId="0" applyNumberFormat="1" applyFont="1" applyFill="1" applyBorder="1" applyAlignment="1">
      <alignment horizontal="right"/>
    </xf>
    <xf numFmtId="269" fontId="7" fillId="0" borderId="0" xfId="0" applyNumberFormat="1" applyFont="1" applyBorder="1" applyAlignment="1">
      <alignment horizontal="right"/>
    </xf>
    <xf numFmtId="269" fontId="7" fillId="0" borderId="23" xfId="1877" applyNumberFormat="1" applyFont="1" applyBorder="1" applyAlignment="1">
      <alignment horizontal="right"/>
    </xf>
    <xf numFmtId="270" fontId="7" fillId="0" borderId="23" xfId="0" applyNumberFormat="1" applyFont="1" applyBorder="1" applyAlignment="1">
      <alignment horizontal="right"/>
    </xf>
    <xf numFmtId="269" fontId="7" fillId="0" borderId="23" xfId="0" applyNumberFormat="1" applyFont="1" applyBorder="1" applyAlignment="1" applyProtection="1">
      <alignment horizontal="right"/>
      <protection locked="0"/>
    </xf>
    <xf numFmtId="269" fontId="7" fillId="0" borderId="0" xfId="0" applyNumberFormat="1" applyFont="1" applyBorder="1" applyAlignment="1" applyProtection="1">
      <alignment horizontal="right"/>
      <protection locked="0"/>
    </xf>
    <xf numFmtId="270" fontId="12" fillId="0" borderId="23" xfId="0" applyNumberFormat="1" applyFont="1" applyBorder="1" applyAlignment="1" applyProtection="1">
      <alignment horizontal="right"/>
    </xf>
    <xf numFmtId="269" fontId="12" fillId="0" borderId="23" xfId="0" applyNumberFormat="1" applyFont="1" applyBorder="1" applyAlignment="1" applyProtection="1">
      <alignment horizontal="right"/>
    </xf>
    <xf numFmtId="271" fontId="12" fillId="0" borderId="23" xfId="0" applyNumberFormat="1" applyFont="1" applyFill="1" applyBorder="1" applyAlignment="1" applyProtection="1">
      <alignment horizontal="right"/>
    </xf>
    <xf numFmtId="269" fontId="12" fillId="0" borderId="0" xfId="0" applyNumberFormat="1" applyFont="1" applyBorder="1" applyAlignment="1" applyProtection="1">
      <alignment horizontal="right"/>
    </xf>
    <xf numFmtId="268" fontId="12" fillId="0" borderId="23" xfId="0" applyNumberFormat="1" applyFont="1" applyBorder="1" applyAlignment="1" applyProtection="1">
      <alignment horizontal="right"/>
      <protection hidden="1"/>
    </xf>
    <xf numFmtId="270" fontId="12" fillId="0" borderId="23" xfId="0" applyNumberFormat="1" applyFont="1" applyBorder="1" applyAlignment="1" applyProtection="1">
      <alignment horizontal="right"/>
      <protection hidden="1"/>
    </xf>
    <xf numFmtId="268" fontId="12" fillId="0" borderId="23" xfId="0" applyNumberFormat="1" applyFont="1" applyBorder="1" applyAlignment="1">
      <alignment horizontal="right"/>
    </xf>
    <xf numFmtId="269" fontId="12" fillId="0" borderId="23" xfId="0" applyNumberFormat="1" applyFont="1" applyBorder="1" applyAlignment="1" applyProtection="1">
      <alignment horizontal="right"/>
      <protection hidden="1"/>
    </xf>
    <xf numFmtId="268" fontId="12" fillId="0" borderId="23" xfId="0" applyNumberFormat="1" applyFont="1" applyFill="1" applyBorder="1" applyAlignment="1" applyProtection="1">
      <alignment horizontal="right"/>
      <protection hidden="1"/>
    </xf>
    <xf numFmtId="270" fontId="12" fillId="0" borderId="23" xfId="0" applyNumberFormat="1" applyFont="1" applyFill="1" applyBorder="1" applyAlignment="1" applyProtection="1">
      <alignment horizontal="right"/>
      <protection hidden="1"/>
    </xf>
    <xf numFmtId="268" fontId="12" fillId="0" borderId="0" xfId="0" applyNumberFormat="1" applyFont="1" applyBorder="1" applyAlignment="1" applyProtection="1">
      <alignment horizontal="right"/>
      <protection hidden="1"/>
    </xf>
    <xf numFmtId="269" fontId="12" fillId="0" borderId="23" xfId="0" applyNumberFormat="1" applyFont="1" applyBorder="1" applyAlignment="1">
      <alignment horizontal="right"/>
    </xf>
    <xf numFmtId="268" fontId="12" fillId="0" borderId="18" xfId="0" applyNumberFormat="1" applyFont="1" applyBorder="1" applyAlignment="1" applyProtection="1">
      <alignment horizontal="right"/>
      <protection hidden="1"/>
    </xf>
    <xf numFmtId="268" fontId="12" fillId="0" borderId="21" xfId="0" applyNumberFormat="1" applyFont="1" applyBorder="1" applyAlignment="1">
      <alignment horizontal="right"/>
    </xf>
    <xf numFmtId="268" fontId="12" fillId="0" borderId="0" xfId="0" applyNumberFormat="1" applyFont="1" applyBorder="1" applyAlignment="1">
      <alignment horizontal="right"/>
    </xf>
    <xf numFmtId="268" fontId="12" fillId="0" borderId="18" xfId="0" applyNumberFormat="1" applyFont="1" applyBorder="1" applyAlignment="1">
      <alignment horizontal="right"/>
    </xf>
    <xf numFmtId="268" fontId="7" fillId="0" borderId="21" xfId="2458" applyNumberFormat="1" applyFont="1" applyBorder="1" applyAlignment="1">
      <alignment horizontal="right"/>
    </xf>
    <xf numFmtId="268" fontId="12" fillId="0" borderId="0" xfId="2458" applyNumberFormat="1" applyFont="1" applyBorder="1" applyAlignment="1">
      <alignment horizontal="right"/>
    </xf>
    <xf numFmtId="268" fontId="12" fillId="0" borderId="23" xfId="2458" applyNumberFormat="1" applyFont="1" applyBorder="1" applyAlignment="1">
      <alignment horizontal="right"/>
    </xf>
    <xf numFmtId="268" fontId="12" fillId="0" borderId="21" xfId="2458" applyNumberFormat="1" applyFont="1" applyBorder="1" applyAlignment="1">
      <alignment horizontal="right"/>
    </xf>
    <xf numFmtId="176" fontId="7" fillId="0" borderId="45" xfId="2458" applyNumberFormat="1" applyFont="1" applyBorder="1"/>
    <xf numFmtId="3" fontId="253" fillId="0" borderId="47" xfId="2458" applyNumberFormat="1" applyFont="1" applyBorder="1"/>
    <xf numFmtId="3" fontId="7" fillId="0" borderId="47" xfId="2458" applyNumberFormat="1" applyFont="1" applyBorder="1"/>
    <xf numFmtId="268" fontId="12" fillId="0" borderId="23" xfId="1908" applyNumberFormat="1" applyFont="1" applyBorder="1" applyAlignment="1">
      <alignment horizontal="right"/>
    </xf>
    <xf numFmtId="268" fontId="12" fillId="0" borderId="0" xfId="1908" applyNumberFormat="1" applyFont="1" applyBorder="1" applyAlignment="1">
      <alignment horizontal="right"/>
    </xf>
    <xf numFmtId="268" fontId="12" fillId="0" borderId="21" xfId="1908" applyNumberFormat="1" applyFont="1" applyBorder="1" applyAlignment="1">
      <alignment horizontal="right"/>
    </xf>
    <xf numFmtId="268" fontId="12" fillId="0" borderId="23" xfId="1877" applyNumberFormat="1" applyFont="1" applyBorder="1" applyAlignment="1">
      <alignment horizontal="right"/>
    </xf>
    <xf numFmtId="268" fontId="12" fillId="0" borderId="0" xfId="1877" applyNumberFormat="1" applyFont="1" applyBorder="1" applyAlignment="1">
      <alignment horizontal="right"/>
    </xf>
    <xf numFmtId="268" fontId="12" fillId="0" borderId="21" xfId="1877" applyNumberFormat="1" applyFont="1" applyBorder="1" applyAlignment="1">
      <alignment horizontal="right"/>
    </xf>
    <xf numFmtId="268" fontId="12" fillId="0" borderId="0" xfId="0" applyNumberFormat="1" applyFont="1" applyFill="1" applyBorder="1" applyAlignment="1">
      <alignment horizontal="right"/>
    </xf>
    <xf numFmtId="268" fontId="7" fillId="0" borderId="21" xfId="0" applyNumberFormat="1" applyFont="1" applyBorder="1"/>
    <xf numFmtId="268" fontId="7" fillId="0" borderId="21" xfId="0" applyNumberFormat="1" applyFont="1" applyFill="1" applyBorder="1"/>
    <xf numFmtId="268" fontId="12" fillId="0" borderId="23" xfId="0" applyNumberFormat="1" applyFont="1" applyFill="1" applyBorder="1" applyAlignment="1">
      <alignment horizontal="right"/>
    </xf>
    <xf numFmtId="268" fontId="12" fillId="0" borderId="0" xfId="0" applyNumberFormat="1" applyFont="1" applyBorder="1"/>
    <xf numFmtId="268" fontId="12" fillId="0" borderId="23" xfId="1877" applyNumberFormat="1" applyFont="1" applyFill="1" applyBorder="1" applyAlignment="1">
      <alignment horizontal="right" vertical="center"/>
    </xf>
    <xf numFmtId="268" fontId="12" fillId="0" borderId="0" xfId="0" applyNumberFormat="1" applyFont="1" applyFill="1" applyBorder="1" applyAlignment="1" applyProtection="1">
      <alignment horizontal="right"/>
      <protection locked="0"/>
    </xf>
    <xf numFmtId="272" fontId="7" fillId="0" borderId="21" xfId="1908" applyNumberFormat="1" applyFont="1" applyBorder="1" applyAlignment="1">
      <alignment horizontal="right"/>
    </xf>
    <xf numFmtId="272" fontId="7" fillId="0" borderId="21" xfId="1908" applyNumberFormat="1" applyFont="1" applyFill="1" applyBorder="1" applyAlignment="1">
      <alignment horizontal="right"/>
    </xf>
    <xf numFmtId="272" fontId="12" fillId="0" borderId="21" xfId="1908" applyNumberFormat="1" applyFont="1" applyBorder="1" applyAlignment="1">
      <alignment horizontal="right"/>
    </xf>
    <xf numFmtId="268" fontId="12" fillId="0" borderId="23" xfId="0" applyNumberFormat="1" applyFont="1" applyFill="1" applyBorder="1" applyAlignment="1" applyProtection="1">
      <alignment horizontal="right"/>
    </xf>
    <xf numFmtId="3" fontId="12" fillId="0" borderId="0" xfId="0" applyNumberFormat="1" applyFont="1" applyBorder="1"/>
    <xf numFmtId="3" fontId="12" fillId="0" borderId="21" xfId="0" applyNumberFormat="1" applyFont="1" applyBorder="1"/>
    <xf numFmtId="0" fontId="7" fillId="0" borderId="21" xfId="2458" applyFont="1" applyBorder="1" applyAlignment="1">
      <alignment horizontal="right"/>
    </xf>
    <xf numFmtId="0" fontId="7" fillId="0" borderId="23" xfId="0" applyNumberFormat="1" applyFont="1" applyBorder="1" applyAlignment="1">
      <alignment horizontal="left"/>
    </xf>
    <xf numFmtId="268" fontId="7" fillId="0" borderId="23" xfId="0" applyNumberFormat="1" applyFont="1" applyBorder="1" applyAlignment="1" applyProtection="1">
      <alignment horizontal="right"/>
    </xf>
    <xf numFmtId="268" fontId="7" fillId="0" borderId="23" xfId="0" applyNumberFormat="1" applyFont="1" applyFill="1" applyBorder="1" applyAlignment="1" applyProtection="1">
      <alignment horizontal="right"/>
    </xf>
    <xf numFmtId="268" fontId="7" fillId="0" borderId="0" xfId="0" applyNumberFormat="1" applyFont="1" applyBorder="1" applyAlignment="1" applyProtection="1">
      <alignment horizontal="right"/>
    </xf>
    <xf numFmtId="270" fontId="7" fillId="0" borderId="23" xfId="0" applyNumberFormat="1" applyFont="1" applyBorder="1" applyAlignment="1" applyProtection="1">
      <alignment horizontal="right"/>
    </xf>
    <xf numFmtId="269" fontId="7" fillId="0" borderId="23" xfId="0" applyNumberFormat="1" applyFont="1" applyBorder="1" applyAlignment="1" applyProtection="1">
      <alignment horizontal="right"/>
    </xf>
    <xf numFmtId="271" fontId="7" fillId="0" borderId="23" xfId="0" applyNumberFormat="1" applyFont="1" applyFill="1" applyBorder="1" applyAlignment="1" applyProtection="1">
      <alignment horizontal="right"/>
    </xf>
    <xf numFmtId="269" fontId="7" fillId="0" borderId="0" xfId="0" applyNumberFormat="1" applyFont="1" applyBorder="1" applyAlignment="1" applyProtection="1">
      <alignment horizontal="right"/>
    </xf>
    <xf numFmtId="268" fontId="7" fillId="0" borderId="23" xfId="0" applyNumberFormat="1" applyFont="1" applyBorder="1" applyAlignment="1" applyProtection="1">
      <alignment horizontal="right"/>
      <protection hidden="1"/>
    </xf>
    <xf numFmtId="268" fontId="7" fillId="0" borderId="23" xfId="0" applyNumberFormat="1" applyFont="1" applyFill="1" applyBorder="1" applyAlignment="1" applyProtection="1">
      <alignment horizontal="right"/>
      <protection hidden="1"/>
    </xf>
    <xf numFmtId="268" fontId="7" fillId="0" borderId="0" xfId="0" applyNumberFormat="1" applyFont="1" applyBorder="1" applyAlignment="1" applyProtection="1">
      <alignment horizontal="right"/>
      <protection hidden="1"/>
    </xf>
    <xf numFmtId="268" fontId="7" fillId="0" borderId="18" xfId="0" applyNumberFormat="1" applyFont="1" applyBorder="1" applyAlignment="1" applyProtection="1">
      <alignment horizontal="right"/>
      <protection hidden="1"/>
    </xf>
    <xf numFmtId="0" fontId="0" fillId="0" borderId="0" xfId="0" applyFont="1"/>
    <xf numFmtId="0" fontId="7" fillId="0" borderId="18" xfId="0" applyNumberFormat="1" applyFont="1" applyBorder="1" applyAlignment="1">
      <alignment horizontal="left"/>
    </xf>
    <xf numFmtId="3" fontId="7" fillId="0" borderId="21" xfId="0" applyNumberFormat="1" applyFont="1" applyBorder="1"/>
    <xf numFmtId="0" fontId="7" fillId="0" borderId="0" xfId="0" applyNumberFormat="1" applyFont="1" applyFill="1" applyAlignment="1" applyProtection="1">
      <alignment horizontal="left"/>
      <protection locked="0"/>
    </xf>
    <xf numFmtId="268" fontId="7" fillId="0" borderId="0" xfId="2458" applyNumberFormat="1" applyFont="1" applyFill="1" applyBorder="1" applyAlignment="1">
      <alignment horizontal="right"/>
    </xf>
    <xf numFmtId="268" fontId="7" fillId="0" borderId="23" xfId="2458" applyNumberFormat="1" applyFont="1" applyFill="1" applyBorder="1" applyAlignment="1">
      <alignment horizontal="right"/>
    </xf>
    <xf numFmtId="0" fontId="9" fillId="0" borderId="0" xfId="0" applyFont="1" applyBorder="1"/>
    <xf numFmtId="0" fontId="7" fillId="0" borderId="0" xfId="0" applyFont="1" applyBorder="1" applyAlignment="1">
      <alignment horizontal="right"/>
    </xf>
    <xf numFmtId="0" fontId="12" fillId="69" borderId="48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69" borderId="23" xfId="0" applyFont="1" applyFill="1" applyBorder="1" applyAlignment="1">
      <alignment horizontal="center"/>
    </xf>
    <xf numFmtId="0" fontId="7" fillId="0" borderId="23" xfId="0" applyFont="1" applyBorder="1"/>
    <xf numFmtId="0" fontId="254" fillId="0" borderId="0" xfId="0" applyFont="1" applyBorder="1"/>
    <xf numFmtId="3" fontId="7" fillId="0" borderId="25" xfId="0" applyNumberFormat="1" applyFont="1" applyFill="1" applyBorder="1"/>
    <xf numFmtId="3" fontId="7" fillId="0" borderId="35" xfId="0" applyNumberFormat="1" applyFont="1" applyFill="1" applyBorder="1"/>
    <xf numFmtId="273" fontId="7" fillId="0" borderId="23" xfId="1877" applyNumberFormat="1" applyFont="1" applyBorder="1" applyAlignment="1">
      <alignment horizontal="right"/>
    </xf>
    <xf numFmtId="273" fontId="7" fillId="0" borderId="0" xfId="1877" applyNumberFormat="1" applyFont="1" applyBorder="1" applyAlignment="1">
      <alignment horizontal="right"/>
    </xf>
    <xf numFmtId="268" fontId="7" fillId="0" borderId="0" xfId="1877" applyNumberFormat="1" applyFont="1" applyFill="1" applyBorder="1" applyAlignment="1">
      <alignment horizontal="right"/>
    </xf>
    <xf numFmtId="268" fontId="7" fillId="0" borderId="21" xfId="1877" applyNumberFormat="1" applyFont="1" applyFill="1" applyBorder="1" applyAlignment="1">
      <alignment horizontal="right"/>
    </xf>
    <xf numFmtId="176" fontId="7" fillId="0" borderId="37" xfId="1877" applyNumberFormat="1" applyFont="1" applyBorder="1"/>
    <xf numFmtId="176" fontId="7" fillId="0" borderId="3" xfId="1877" applyNumberFormat="1" applyFont="1" applyBorder="1"/>
    <xf numFmtId="3" fontId="251" fillId="0" borderId="37" xfId="1877" applyNumberFormat="1" applyFont="1" applyBorder="1"/>
    <xf numFmtId="3" fontId="251" fillId="0" borderId="3" xfId="1877" applyNumberFormat="1" applyFont="1" applyBorder="1"/>
    <xf numFmtId="3" fontId="251" fillId="0" borderId="47" xfId="1877" applyNumberFormat="1" applyFont="1" applyBorder="1"/>
    <xf numFmtId="14" fontId="7" fillId="0" borderId="0" xfId="0" applyNumberFormat="1" applyFont="1"/>
    <xf numFmtId="14" fontId="7" fillId="0" borderId="0" xfId="0" applyNumberFormat="1" applyFont="1" applyBorder="1"/>
    <xf numFmtId="3" fontId="12" fillId="0" borderId="23" xfId="0" applyNumberFormat="1" applyFont="1" applyBorder="1"/>
    <xf numFmtId="273" fontId="12" fillId="0" borderId="23" xfId="1877" applyNumberFormat="1" applyFont="1" applyBorder="1" applyAlignment="1">
      <alignment horizontal="right"/>
    </xf>
    <xf numFmtId="273" fontId="12" fillId="0" borderId="0" xfId="1877" applyNumberFormat="1" applyFont="1" applyBorder="1" applyAlignment="1">
      <alignment horizontal="right"/>
    </xf>
    <xf numFmtId="268" fontId="12" fillId="0" borderId="0" xfId="1877" applyNumberFormat="1" applyFont="1" applyFill="1" applyBorder="1" applyAlignment="1">
      <alignment horizontal="right"/>
    </xf>
    <xf numFmtId="268" fontId="12" fillId="0" borderId="21" xfId="1877" applyNumberFormat="1" applyFont="1" applyFill="1" applyBorder="1" applyAlignment="1">
      <alignment horizontal="right"/>
    </xf>
    <xf numFmtId="177" fontId="7" fillId="0" borderId="23" xfId="2458" applyNumberFormat="1" applyFont="1" applyBorder="1"/>
    <xf numFmtId="268" fontId="7" fillId="0" borderId="23" xfId="1877" applyNumberFormat="1" applyFont="1" applyFill="1" applyBorder="1" applyAlignment="1">
      <alignment horizontal="right" vertical="center"/>
    </xf>
    <xf numFmtId="270" fontId="4" fillId="0" borderId="21" xfId="2458" applyNumberFormat="1" applyFont="1" applyBorder="1" applyAlignment="1">
      <alignment horizontal="right"/>
    </xf>
    <xf numFmtId="270" fontId="4" fillId="0" borderId="18" xfId="2458" applyNumberFormat="1" applyFont="1" applyBorder="1" applyAlignment="1">
      <alignment horizontal="right"/>
    </xf>
    <xf numFmtId="177" fontId="7" fillId="0" borderId="47" xfId="2458" applyNumberFormat="1" applyFont="1" applyBorder="1" applyAlignment="1"/>
    <xf numFmtId="177" fontId="7" fillId="0" borderId="36" xfId="2458" applyNumberFormat="1" applyFont="1" applyBorder="1" applyAlignment="1"/>
    <xf numFmtId="177" fontId="12" fillId="69" borderId="35" xfId="2458" applyNumberFormat="1" applyFont="1" applyFill="1" applyBorder="1" applyAlignment="1">
      <alignment horizontal="center" vertical="center" wrapText="1"/>
    </xf>
    <xf numFmtId="177" fontId="12" fillId="69" borderId="23" xfId="2458" applyNumberFormat="1" applyFont="1" applyFill="1" applyBorder="1" applyAlignment="1">
      <alignment horizontal="center" vertical="center" wrapText="1"/>
    </xf>
    <xf numFmtId="177" fontId="12" fillId="69" borderId="2" xfId="2458" applyNumberFormat="1" applyFont="1" applyFill="1" applyBorder="1" applyAlignment="1">
      <alignment horizontal="center" vertical="center" wrapText="1"/>
    </xf>
    <xf numFmtId="177" fontId="12" fillId="69" borderId="42" xfId="2458" applyNumberFormat="1" applyFont="1" applyFill="1" applyBorder="1" applyAlignment="1">
      <alignment horizontal="center" vertical="center"/>
    </xf>
    <xf numFmtId="177" fontId="12" fillId="69" borderId="41" xfId="2458" applyNumberFormat="1" applyFont="1" applyFill="1" applyBorder="1" applyAlignment="1">
      <alignment horizontal="center" vertical="center"/>
    </xf>
    <xf numFmtId="177" fontId="12" fillId="69" borderId="43" xfId="2458" applyNumberFormat="1" applyFont="1" applyFill="1" applyBorder="1" applyAlignment="1">
      <alignment horizontal="center" vertical="center"/>
    </xf>
    <xf numFmtId="3" fontId="12" fillId="69" borderId="39" xfId="2458" applyNumberFormat="1" applyFont="1" applyFill="1" applyBorder="1" applyAlignment="1">
      <alignment horizontal="center" vertical="center" wrapText="1"/>
    </xf>
    <xf numFmtId="3" fontId="12" fillId="69" borderId="21" xfId="2458" applyNumberFormat="1" applyFont="1" applyFill="1" applyBorder="1" applyAlignment="1">
      <alignment horizontal="center" vertical="center" wrapText="1"/>
    </xf>
    <xf numFmtId="3" fontId="12" fillId="69" borderId="35" xfId="2458" applyNumberFormat="1" applyFont="1" applyFill="1" applyBorder="1" applyAlignment="1">
      <alignment horizontal="center" vertical="center" wrapText="1"/>
    </xf>
    <xf numFmtId="3" fontId="12" fillId="69" borderId="23" xfId="2458" applyNumberFormat="1" applyFont="1" applyFill="1" applyBorder="1" applyAlignment="1">
      <alignment horizontal="center" vertical="center" wrapText="1"/>
    </xf>
    <xf numFmtId="3" fontId="12" fillId="69" borderId="2" xfId="2458" applyNumberFormat="1" applyFont="1" applyFill="1" applyBorder="1" applyAlignment="1">
      <alignment horizontal="center" vertical="center" wrapText="1"/>
    </xf>
    <xf numFmtId="3" fontId="12" fillId="69" borderId="45" xfId="2458" applyNumberFormat="1" applyFont="1" applyFill="1" applyBorder="1" applyAlignment="1">
      <alignment horizontal="center" vertical="center" wrapText="1"/>
    </xf>
    <xf numFmtId="3" fontId="12" fillId="69" borderId="44" xfId="2458" applyNumberFormat="1" applyFont="1" applyFill="1" applyBorder="1" applyAlignment="1">
      <alignment horizontal="center" vertical="center" wrapText="1"/>
    </xf>
    <xf numFmtId="3" fontId="12" fillId="69" borderId="42" xfId="2458" applyNumberFormat="1" applyFont="1" applyFill="1" applyBorder="1" applyAlignment="1">
      <alignment horizontal="center" vertical="center"/>
    </xf>
    <xf numFmtId="3" fontId="12" fillId="69" borderId="41" xfId="2458" applyNumberFormat="1" applyFont="1" applyFill="1" applyBorder="1" applyAlignment="1">
      <alignment horizontal="center" vertical="center"/>
    </xf>
    <xf numFmtId="3" fontId="12" fillId="69" borderId="43" xfId="2458" applyNumberFormat="1" applyFont="1" applyFill="1" applyBorder="1" applyAlignment="1">
      <alignment horizontal="center" vertical="center"/>
    </xf>
    <xf numFmtId="177" fontId="12" fillId="69" borderId="45" xfId="2458" applyNumberFormat="1" applyFont="1" applyFill="1" applyBorder="1" applyAlignment="1">
      <alignment horizontal="center" vertical="center" wrapText="1"/>
    </xf>
    <xf numFmtId="177" fontId="12" fillId="69" borderId="34" xfId="2458" applyNumberFormat="1" applyFont="1" applyFill="1" applyBorder="1" applyAlignment="1">
      <alignment horizontal="center" vertical="center" wrapText="1"/>
    </xf>
    <xf numFmtId="177" fontId="12" fillId="69" borderId="21" xfId="2458" applyNumberFormat="1" applyFont="1" applyFill="1" applyBorder="1" applyAlignment="1">
      <alignment horizontal="center" vertical="center" wrapText="1"/>
    </xf>
    <xf numFmtId="177" fontId="12" fillId="69" borderId="18" xfId="2458" applyNumberFormat="1" applyFont="1" applyFill="1" applyBorder="1" applyAlignment="1">
      <alignment horizontal="center" vertical="center" wrapText="1"/>
    </xf>
    <xf numFmtId="177" fontId="12" fillId="69" borderId="44" xfId="2458" applyNumberFormat="1" applyFont="1" applyFill="1" applyBorder="1" applyAlignment="1">
      <alignment horizontal="center" vertical="center" wrapText="1"/>
    </xf>
    <xf numFmtId="177" fontId="12" fillId="69" borderId="49" xfId="2458" applyNumberFormat="1" applyFont="1" applyFill="1" applyBorder="1" applyAlignment="1">
      <alignment horizontal="center" vertical="center" wrapText="1"/>
    </xf>
    <xf numFmtId="49" fontId="12" fillId="69" borderId="48" xfId="2458" applyNumberFormat="1" applyFont="1" applyFill="1" applyBorder="1" applyAlignment="1">
      <alignment horizontal="center" vertical="center"/>
    </xf>
    <xf numFmtId="49" fontId="12" fillId="69" borderId="23" xfId="2458" applyNumberFormat="1" applyFont="1" applyFill="1" applyBorder="1" applyAlignment="1">
      <alignment horizontal="center" vertical="center"/>
    </xf>
    <xf numFmtId="49" fontId="12" fillId="69" borderId="35" xfId="2458" applyNumberFormat="1" applyFont="1" applyFill="1" applyBorder="1" applyAlignment="1">
      <alignment horizontal="center" vertical="center" wrapText="1"/>
    </xf>
    <xf numFmtId="49" fontId="12" fillId="69" borderId="23" xfId="2458" applyNumberFormat="1" applyFont="1" applyFill="1" applyBorder="1" applyAlignment="1">
      <alignment horizontal="center" vertical="center" wrapText="1"/>
    </xf>
    <xf numFmtId="49" fontId="12" fillId="69" borderId="2" xfId="2458" applyNumberFormat="1" applyFont="1" applyFill="1" applyBorder="1" applyAlignment="1">
      <alignment horizontal="center" vertical="center" wrapText="1"/>
    </xf>
    <xf numFmtId="177" fontId="7" fillId="0" borderId="45" xfId="2458" applyNumberFormat="1" applyFont="1" applyBorder="1" applyAlignment="1"/>
    <xf numFmtId="177" fontId="7" fillId="0" borderId="34" xfId="2458" applyNumberFormat="1" applyFont="1" applyBorder="1" applyAlignment="1"/>
    <xf numFmtId="49" fontId="12" fillId="69" borderId="48" xfId="2458" applyNumberFormat="1" applyFont="1" applyFill="1" applyBorder="1" applyAlignment="1">
      <alignment horizontal="center" vertical="center" wrapText="1"/>
    </xf>
    <xf numFmtId="49" fontId="12" fillId="69" borderId="2" xfId="2458" applyNumberFormat="1" applyFont="1" applyFill="1" applyBorder="1" applyAlignment="1">
      <alignment horizontal="center" vertical="center"/>
    </xf>
    <xf numFmtId="3" fontId="7" fillId="69" borderId="39" xfId="2458" applyNumberFormat="1" applyFont="1" applyFill="1" applyBorder="1" applyAlignment="1">
      <alignment horizontal="center" vertical="center" wrapText="1"/>
    </xf>
    <xf numFmtId="3" fontId="7" fillId="69" borderId="21" xfId="2458" applyNumberFormat="1" applyFont="1" applyFill="1" applyBorder="1" applyAlignment="1">
      <alignment horizontal="center" vertical="center" wrapText="1"/>
    </xf>
    <xf numFmtId="3" fontId="12" fillId="69" borderId="38" xfId="2458" applyNumberFormat="1" applyFont="1" applyFill="1" applyBorder="1" applyAlignment="1">
      <alignment horizontal="center" vertical="center" wrapText="1"/>
    </xf>
    <xf numFmtId="3" fontId="12" fillId="69" borderId="18" xfId="2458" applyNumberFormat="1" applyFont="1" applyFill="1" applyBorder="1" applyAlignment="1">
      <alignment horizontal="center" vertical="center" wrapText="1"/>
    </xf>
    <xf numFmtId="3" fontId="12" fillId="69" borderId="48" xfId="2458" applyNumberFormat="1" applyFont="1" applyFill="1" applyBorder="1" applyAlignment="1">
      <alignment horizontal="center" vertical="center" wrapText="1"/>
    </xf>
    <xf numFmtId="3" fontId="12" fillId="69" borderId="34" xfId="2458" applyNumberFormat="1" applyFont="1" applyFill="1" applyBorder="1" applyAlignment="1">
      <alignment horizontal="center" vertical="center" wrapText="1"/>
    </xf>
    <xf numFmtId="3" fontId="12" fillId="69" borderId="40" xfId="2458" applyNumberFormat="1" applyFont="1" applyFill="1" applyBorder="1" applyAlignment="1">
      <alignment horizontal="center" vertical="center" wrapText="1"/>
    </xf>
    <xf numFmtId="3" fontId="12" fillId="69" borderId="0" xfId="2458" applyNumberFormat="1" applyFont="1" applyFill="1" applyBorder="1" applyAlignment="1">
      <alignment horizontal="center" vertical="center" wrapText="1"/>
    </xf>
    <xf numFmtId="3" fontId="12" fillId="69" borderId="9" xfId="2458" applyNumberFormat="1" applyFont="1" applyFill="1" applyBorder="1" applyAlignment="1">
      <alignment horizontal="center" vertical="center" wrapText="1"/>
    </xf>
    <xf numFmtId="3" fontId="12" fillId="69" borderId="49" xfId="2458" applyNumberFormat="1" applyFont="1" applyFill="1" applyBorder="1" applyAlignment="1">
      <alignment horizontal="center" vertical="center" wrapText="1"/>
    </xf>
    <xf numFmtId="177" fontId="12" fillId="69" borderId="39" xfId="2458" applyNumberFormat="1" applyFont="1" applyFill="1" applyBorder="1" applyAlignment="1">
      <alignment horizontal="center" vertical="center" wrapText="1"/>
    </xf>
    <xf numFmtId="3" fontId="12" fillId="69" borderId="50" xfId="2458" applyNumberFormat="1" applyFont="1" applyFill="1" applyBorder="1" applyAlignment="1">
      <alignment horizontal="center" vertical="center" wrapText="1"/>
    </xf>
    <xf numFmtId="3" fontId="12" fillId="69" borderId="6" xfId="2458" applyNumberFormat="1" applyFont="1" applyFill="1" applyBorder="1" applyAlignment="1">
      <alignment horizontal="center" vertical="center"/>
    </xf>
    <xf numFmtId="3" fontId="12" fillId="69" borderId="42" xfId="2458" applyNumberFormat="1" applyFont="1" applyFill="1" applyBorder="1" applyAlignment="1">
      <alignment horizontal="center" vertical="center" wrapText="1"/>
    </xf>
    <xf numFmtId="3" fontId="12" fillId="69" borderId="46" xfId="2458" applyNumberFormat="1" applyFont="1" applyFill="1" applyBorder="1" applyAlignment="1">
      <alignment horizontal="center" vertical="center"/>
    </xf>
    <xf numFmtId="176" fontId="12" fillId="69" borderId="45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21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44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39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35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23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2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1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6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6" xfId="0" applyNumberFormat="1" applyFont="1" applyFill="1" applyBorder="1" applyAlignment="1" applyProtection="1">
      <alignment horizontal="center" vertical="center"/>
      <protection locked="0"/>
    </xf>
    <xf numFmtId="3" fontId="12" fillId="69" borderId="11" xfId="2458" applyNumberFormat="1" applyFont="1" applyFill="1" applyBorder="1" applyAlignment="1">
      <alignment horizontal="center" vertical="center"/>
    </xf>
    <xf numFmtId="3" fontId="12" fillId="69" borderId="1" xfId="2458" applyNumberFormat="1" applyFont="1" applyFill="1" applyBorder="1" applyAlignment="1">
      <alignment horizontal="center" vertical="center"/>
    </xf>
    <xf numFmtId="176" fontId="12" fillId="69" borderId="34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18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49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46" xfId="0" applyNumberFormat="1" applyFont="1" applyFill="1" applyBorder="1" applyAlignment="1" applyProtection="1">
      <alignment horizontal="center" vertical="center"/>
      <protection locked="0"/>
    </xf>
    <xf numFmtId="176" fontId="12" fillId="69" borderId="11" xfId="0" applyNumberFormat="1" applyFont="1" applyFill="1" applyBorder="1" applyAlignment="1" applyProtection="1">
      <alignment horizontal="center" vertical="center"/>
      <protection locked="0"/>
    </xf>
    <xf numFmtId="176" fontId="12" fillId="69" borderId="1" xfId="0" applyNumberFormat="1" applyFont="1" applyFill="1" applyBorder="1" applyAlignment="1" applyProtection="1">
      <alignment horizontal="center" vertical="center"/>
      <protection locked="0"/>
    </xf>
    <xf numFmtId="176" fontId="7" fillId="69" borderId="48" xfId="0" applyNumberFormat="1" applyFont="1" applyFill="1" applyBorder="1" applyAlignment="1" applyProtection="1">
      <alignment horizontal="center" vertical="center"/>
      <protection locked="0"/>
    </xf>
    <xf numFmtId="176" fontId="7" fillId="69" borderId="23" xfId="0" applyNumberFormat="1" applyFont="1" applyFill="1" applyBorder="1" applyAlignment="1" applyProtection="1">
      <alignment horizontal="center" vertical="center"/>
      <protection locked="0"/>
    </xf>
    <xf numFmtId="176" fontId="7" fillId="69" borderId="2" xfId="0" applyNumberFormat="1" applyFont="1" applyFill="1" applyBorder="1" applyAlignment="1" applyProtection="1">
      <alignment horizontal="center" vertical="center"/>
      <protection locked="0"/>
    </xf>
    <xf numFmtId="176" fontId="12" fillId="69" borderId="23" xfId="0" applyNumberFormat="1" applyFont="1" applyFill="1" applyBorder="1" applyAlignment="1" applyProtection="1">
      <alignment horizontal="center" vertical="center"/>
      <protection locked="0"/>
    </xf>
    <xf numFmtId="176" fontId="12" fillId="69" borderId="2" xfId="0" applyNumberFormat="1" applyFont="1" applyFill="1" applyBorder="1" applyAlignment="1" applyProtection="1">
      <alignment horizontal="center" vertical="center"/>
      <protection locked="0"/>
    </xf>
    <xf numFmtId="176" fontId="12" fillId="69" borderId="48" xfId="0" applyNumberFormat="1" applyFont="1" applyFill="1" applyBorder="1" applyAlignment="1" applyProtection="1">
      <alignment horizontal="center" vertical="center" wrapText="1"/>
      <protection locked="0"/>
    </xf>
    <xf numFmtId="176" fontId="12" fillId="69" borderId="21" xfId="0" applyNumberFormat="1" applyFont="1" applyFill="1" applyBorder="1" applyAlignment="1" applyProtection="1">
      <alignment horizontal="center" vertical="center"/>
      <protection locked="0"/>
    </xf>
    <xf numFmtId="176" fontId="12" fillId="69" borderId="18" xfId="0" applyNumberFormat="1" applyFont="1" applyFill="1" applyBorder="1" applyAlignment="1" applyProtection="1">
      <alignment horizontal="center" vertical="center"/>
      <protection locked="0"/>
    </xf>
    <xf numFmtId="0" fontId="12" fillId="69" borderId="39" xfId="0" applyFont="1" applyFill="1" applyBorder="1" applyAlignment="1">
      <alignment horizontal="center" vertical="center" wrapText="1"/>
    </xf>
    <xf numFmtId="0" fontId="12" fillId="69" borderId="21" xfId="0" applyFont="1" applyFill="1" applyBorder="1" applyAlignment="1">
      <alignment horizontal="center" vertical="center" wrapText="1"/>
    </xf>
    <xf numFmtId="0" fontId="12" fillId="69" borderId="35" xfId="0" applyFont="1" applyFill="1" applyBorder="1" applyAlignment="1">
      <alignment horizontal="center" vertical="center" wrapText="1"/>
    </xf>
    <xf numFmtId="0" fontId="12" fillId="69" borderId="23" xfId="0" applyFont="1" applyFill="1" applyBorder="1" applyAlignment="1">
      <alignment horizontal="center" vertical="center" wrapText="1"/>
    </xf>
    <xf numFmtId="0" fontId="12" fillId="69" borderId="34" xfId="0" applyFont="1" applyFill="1" applyBorder="1" applyAlignment="1">
      <alignment horizontal="center" vertical="center" wrapText="1"/>
    </xf>
    <xf numFmtId="0" fontId="12" fillId="69" borderId="18" xfId="0" applyFont="1" applyFill="1" applyBorder="1" applyAlignment="1">
      <alignment horizontal="center" vertical="center" wrapText="1"/>
    </xf>
    <xf numFmtId="0" fontId="12" fillId="69" borderId="23" xfId="0" applyFont="1" applyFill="1" applyBorder="1" applyAlignment="1">
      <alignment horizontal="center" vertical="center"/>
    </xf>
    <xf numFmtId="0" fontId="12" fillId="69" borderId="18" xfId="0" applyFont="1" applyFill="1" applyBorder="1" applyAlignment="1">
      <alignment horizontal="center" vertical="center"/>
    </xf>
    <xf numFmtId="0" fontId="12" fillId="69" borderId="2" xfId="0" applyFont="1" applyFill="1" applyBorder="1" applyAlignment="1">
      <alignment horizontal="center" vertical="center" wrapText="1"/>
    </xf>
    <xf numFmtId="0" fontId="12" fillId="69" borderId="48" xfId="0" applyFont="1" applyFill="1" applyBorder="1" applyAlignment="1">
      <alignment horizontal="center" vertical="center" wrapText="1"/>
    </xf>
    <xf numFmtId="176" fontId="12" fillId="69" borderId="35" xfId="2458" applyNumberFormat="1" applyFont="1" applyFill="1" applyBorder="1" applyAlignment="1">
      <alignment horizontal="center" vertical="center" wrapText="1"/>
    </xf>
    <xf numFmtId="176" fontId="12" fillId="69" borderId="23" xfId="2458" applyNumberFormat="1" applyFont="1" applyFill="1" applyBorder="1" applyAlignment="1">
      <alignment horizontal="center" vertical="center" wrapText="1"/>
    </xf>
    <xf numFmtId="176" fontId="12" fillId="69" borderId="45" xfId="2458" applyNumberFormat="1" applyFont="1" applyFill="1" applyBorder="1" applyAlignment="1">
      <alignment horizontal="center" vertical="center" wrapText="1"/>
    </xf>
    <xf numFmtId="176" fontId="12" fillId="69" borderId="21" xfId="2458" applyNumberFormat="1" applyFont="1" applyFill="1" applyBorder="1" applyAlignment="1">
      <alignment horizontal="center" vertical="center" wrapText="1"/>
    </xf>
    <xf numFmtId="176" fontId="12" fillId="69" borderId="25" xfId="2458" applyNumberFormat="1" applyFont="1" applyFill="1" applyBorder="1" applyAlignment="1" applyProtection="1">
      <alignment horizontal="center" vertical="center"/>
      <protection locked="0"/>
    </xf>
    <xf numFmtId="176" fontId="12" fillId="69" borderId="9" xfId="2458" applyNumberFormat="1" applyFont="1" applyFill="1" applyBorder="1" applyAlignment="1" applyProtection="1">
      <alignment horizontal="center" vertical="center"/>
      <protection locked="0"/>
    </xf>
    <xf numFmtId="176" fontId="12" fillId="69" borderId="45" xfId="2458" applyNumberFormat="1" applyFont="1" applyFill="1" applyBorder="1" applyAlignment="1" applyProtection="1">
      <alignment horizontal="center" vertical="center"/>
      <protection locked="0"/>
    </xf>
    <xf numFmtId="176" fontId="12" fillId="69" borderId="44" xfId="2458" applyNumberFormat="1" applyFont="1" applyFill="1" applyBorder="1" applyAlignment="1" applyProtection="1">
      <alignment horizontal="center" vertical="center"/>
      <protection locked="0"/>
    </xf>
    <xf numFmtId="176" fontId="12" fillId="69" borderId="34" xfId="2458" applyNumberFormat="1" applyFont="1" applyFill="1" applyBorder="1" applyAlignment="1">
      <alignment horizontal="center" vertical="center" wrapText="1"/>
    </xf>
    <xf numFmtId="176" fontId="12" fillId="69" borderId="18" xfId="2458" applyNumberFormat="1" applyFont="1" applyFill="1" applyBorder="1" applyAlignment="1">
      <alignment horizontal="center" vertical="center" wrapText="1"/>
    </xf>
    <xf numFmtId="176" fontId="172" fillId="69" borderId="35" xfId="2458" applyNumberFormat="1" applyFont="1" applyFill="1" applyBorder="1" applyAlignment="1">
      <alignment horizontal="center" vertical="center" wrapText="1"/>
    </xf>
    <xf numFmtId="176" fontId="172" fillId="69" borderId="23" xfId="2458" applyNumberFormat="1" applyFont="1" applyFill="1" applyBorder="1" applyAlignment="1">
      <alignment horizontal="center" vertical="center" wrapText="1"/>
    </xf>
    <xf numFmtId="0" fontId="12" fillId="69" borderId="45" xfId="0" applyFont="1" applyFill="1" applyBorder="1" applyAlignment="1" applyProtection="1">
      <alignment horizontal="center" vertical="center"/>
      <protection locked="0"/>
    </xf>
    <xf numFmtId="0" fontId="12" fillId="69" borderId="25" xfId="0" applyFont="1" applyFill="1" applyBorder="1" applyAlignment="1" applyProtection="1">
      <alignment horizontal="center" vertical="center"/>
      <protection locked="0"/>
    </xf>
    <xf numFmtId="0" fontId="12" fillId="69" borderId="44" xfId="0" applyFont="1" applyFill="1" applyBorder="1" applyAlignment="1" applyProtection="1">
      <alignment horizontal="center" vertical="center"/>
      <protection locked="0"/>
    </xf>
    <xf numFmtId="0" fontId="12" fillId="69" borderId="9" xfId="0" applyFont="1" applyFill="1" applyBorder="1" applyAlignment="1" applyProtection="1">
      <alignment horizontal="center" vertical="center"/>
      <protection locked="0"/>
    </xf>
    <xf numFmtId="0" fontId="12" fillId="69" borderId="45" xfId="0" applyFont="1" applyFill="1" applyBorder="1" applyAlignment="1" applyProtection="1">
      <alignment horizontal="center" vertical="center" wrapText="1"/>
      <protection locked="0"/>
    </xf>
    <xf numFmtId="0" fontId="12" fillId="69" borderId="34" xfId="0" applyFont="1" applyFill="1" applyBorder="1" applyAlignment="1" applyProtection="1">
      <alignment horizontal="center" vertical="center" wrapText="1"/>
      <protection locked="0"/>
    </xf>
    <xf numFmtId="0" fontId="12" fillId="69" borderId="44" xfId="0" applyFont="1" applyFill="1" applyBorder="1" applyAlignment="1" applyProtection="1">
      <alignment horizontal="center" vertical="center" wrapText="1"/>
      <protection locked="0"/>
    </xf>
    <xf numFmtId="0" fontId="12" fillId="69" borderId="49" xfId="0" applyFont="1" applyFill="1" applyBorder="1" applyAlignment="1" applyProtection="1">
      <alignment horizontal="center" vertical="center" wrapText="1"/>
      <protection locked="0"/>
    </xf>
    <xf numFmtId="176" fontId="12" fillId="69" borderId="35" xfId="1877" applyNumberFormat="1" applyFont="1" applyFill="1" applyBorder="1" applyAlignment="1">
      <alignment horizontal="center" vertical="center" wrapText="1"/>
    </xf>
    <xf numFmtId="176" fontId="12" fillId="69" borderId="23" xfId="1877" applyNumberFormat="1" applyFont="1" applyFill="1" applyBorder="1" applyAlignment="1">
      <alignment horizontal="center" vertical="center" wrapText="1"/>
    </xf>
    <xf numFmtId="176" fontId="12" fillId="69" borderId="2" xfId="1877" applyNumberFormat="1" applyFont="1" applyFill="1" applyBorder="1" applyAlignment="1">
      <alignment horizontal="center" vertical="center" wrapText="1"/>
    </xf>
    <xf numFmtId="176" fontId="12" fillId="69" borderId="46" xfId="1877" applyNumberFormat="1" applyFont="1" applyFill="1" applyBorder="1" applyAlignment="1">
      <alignment horizontal="center" vertical="center"/>
    </xf>
    <xf numFmtId="176" fontId="12" fillId="69" borderId="11" xfId="1877" applyNumberFormat="1" applyFont="1" applyFill="1" applyBorder="1" applyAlignment="1">
      <alignment horizontal="center" vertical="center"/>
    </xf>
    <xf numFmtId="176" fontId="12" fillId="69" borderId="1" xfId="1877" applyNumberFormat="1" applyFont="1" applyFill="1" applyBorder="1" applyAlignment="1">
      <alignment horizontal="center" vertical="center"/>
    </xf>
    <xf numFmtId="176" fontId="12" fillId="69" borderId="45" xfId="1877" applyNumberFormat="1" applyFont="1" applyFill="1" applyBorder="1" applyAlignment="1">
      <alignment horizontal="center" vertical="center" wrapText="1"/>
    </xf>
    <xf numFmtId="176" fontId="12" fillId="69" borderId="21" xfId="1877" applyNumberFormat="1" applyFont="1" applyFill="1" applyBorder="1" applyAlignment="1">
      <alignment horizontal="center" vertical="center" wrapText="1"/>
    </xf>
    <xf numFmtId="176" fontId="12" fillId="69" borderId="44" xfId="1877" applyNumberFormat="1" applyFont="1" applyFill="1" applyBorder="1" applyAlignment="1">
      <alignment horizontal="center" vertical="center" wrapText="1"/>
    </xf>
    <xf numFmtId="176" fontId="12" fillId="69" borderId="42" xfId="1877" applyNumberFormat="1" applyFont="1" applyFill="1" applyBorder="1" applyAlignment="1">
      <alignment horizontal="center" vertical="center"/>
    </xf>
    <xf numFmtId="176" fontId="12" fillId="69" borderId="41" xfId="1877" applyNumberFormat="1" applyFont="1" applyFill="1" applyBorder="1" applyAlignment="1">
      <alignment horizontal="center" vertical="center"/>
    </xf>
    <xf numFmtId="176" fontId="12" fillId="69" borderId="43" xfId="1877" applyNumberFormat="1" applyFont="1" applyFill="1" applyBorder="1" applyAlignment="1">
      <alignment horizontal="center" vertical="center"/>
    </xf>
    <xf numFmtId="3" fontId="12" fillId="69" borderId="35" xfId="0" applyNumberFormat="1" applyFont="1" applyFill="1" applyBorder="1" applyAlignment="1">
      <alignment horizontal="center" vertical="center" wrapText="1"/>
    </xf>
    <xf numFmtId="3" fontId="12" fillId="69" borderId="23" xfId="0" applyNumberFormat="1" applyFont="1" applyFill="1" applyBorder="1" applyAlignment="1">
      <alignment horizontal="center" vertical="center" wrapText="1"/>
    </xf>
    <xf numFmtId="3" fontId="12" fillId="69" borderId="2" xfId="0" applyNumberFormat="1" applyFont="1" applyFill="1" applyBorder="1" applyAlignment="1">
      <alignment horizontal="center" vertical="center" wrapText="1"/>
    </xf>
    <xf numFmtId="3" fontId="12" fillId="69" borderId="42" xfId="0" applyNumberFormat="1" applyFont="1" applyFill="1" applyBorder="1" applyAlignment="1">
      <alignment horizontal="center" vertical="center"/>
    </xf>
    <xf numFmtId="3" fontId="12" fillId="69" borderId="41" xfId="0" applyNumberFormat="1" applyFont="1" applyFill="1" applyBorder="1" applyAlignment="1">
      <alignment horizontal="center" vertical="center"/>
    </xf>
    <xf numFmtId="3" fontId="12" fillId="69" borderId="43" xfId="0" applyNumberFormat="1" applyFont="1" applyFill="1" applyBorder="1" applyAlignment="1">
      <alignment horizontal="center" vertical="center"/>
    </xf>
    <xf numFmtId="3" fontId="12" fillId="69" borderId="45" xfId="0" applyNumberFormat="1" applyFont="1" applyFill="1" applyBorder="1" applyAlignment="1">
      <alignment horizontal="center" vertical="center" wrapText="1"/>
    </xf>
    <xf numFmtId="3" fontId="12" fillId="69" borderId="21" xfId="0" applyNumberFormat="1" applyFont="1" applyFill="1" applyBorder="1" applyAlignment="1">
      <alignment horizontal="center" vertical="center" wrapText="1"/>
    </xf>
    <xf numFmtId="3" fontId="12" fillId="69" borderId="44" xfId="0" applyNumberFormat="1" applyFont="1" applyFill="1" applyBorder="1" applyAlignment="1">
      <alignment horizontal="center" vertical="center" wrapText="1"/>
    </xf>
    <xf numFmtId="3" fontId="12" fillId="69" borderId="35" xfId="0" applyNumberFormat="1" applyFont="1" applyFill="1" applyBorder="1" applyAlignment="1">
      <alignment horizontal="center" vertical="center"/>
    </xf>
    <xf numFmtId="3" fontId="12" fillId="69" borderId="23" xfId="0" applyNumberFormat="1" applyFont="1" applyFill="1" applyBorder="1" applyAlignment="1">
      <alignment horizontal="center" vertical="center"/>
    </xf>
    <xf numFmtId="3" fontId="12" fillId="69" borderId="2" xfId="0" applyNumberFormat="1" applyFont="1" applyFill="1" applyBorder="1" applyAlignment="1">
      <alignment horizontal="center" vertical="center"/>
    </xf>
    <xf numFmtId="3" fontId="12" fillId="69" borderId="45" xfId="0" applyNumberFormat="1" applyFont="1" applyFill="1" applyBorder="1" applyAlignment="1">
      <alignment horizontal="center" vertical="center"/>
    </xf>
    <xf numFmtId="3" fontId="12" fillId="69" borderId="21" xfId="0" applyNumberFormat="1" applyFont="1" applyFill="1" applyBorder="1" applyAlignment="1">
      <alignment horizontal="center" vertical="center"/>
    </xf>
    <xf numFmtId="3" fontId="12" fillId="69" borderId="44" xfId="0" applyNumberFormat="1" applyFont="1" applyFill="1" applyBorder="1" applyAlignment="1">
      <alignment horizontal="center" vertical="center"/>
    </xf>
    <xf numFmtId="3" fontId="12" fillId="69" borderId="46" xfId="0" applyNumberFormat="1" applyFont="1" applyFill="1" applyBorder="1" applyAlignment="1">
      <alignment horizontal="center" vertical="center"/>
    </xf>
    <xf numFmtId="3" fontId="12" fillId="69" borderId="11" xfId="0" applyNumberFormat="1" applyFont="1" applyFill="1" applyBorder="1" applyAlignment="1">
      <alignment horizontal="center" vertical="center"/>
    </xf>
    <xf numFmtId="3" fontId="12" fillId="69" borderId="1" xfId="0" applyNumberFormat="1" applyFont="1" applyFill="1" applyBorder="1" applyAlignment="1">
      <alignment horizontal="center" vertical="center"/>
    </xf>
    <xf numFmtId="3" fontId="12" fillId="69" borderId="35" xfId="1877" applyNumberFormat="1" applyFont="1" applyFill="1" applyBorder="1" applyAlignment="1">
      <alignment horizontal="center" vertical="center" wrapText="1"/>
    </xf>
    <xf numFmtId="3" fontId="12" fillId="69" borderId="2" xfId="1877" applyNumberFormat="1" applyFont="1" applyFill="1" applyBorder="1" applyAlignment="1">
      <alignment horizontal="center" vertical="center" wrapText="1"/>
    </xf>
    <xf numFmtId="3" fontId="12" fillId="69" borderId="48" xfId="1877" applyNumberFormat="1" applyFont="1" applyFill="1" applyBorder="1" applyAlignment="1">
      <alignment horizontal="center" vertical="center" wrapText="1"/>
    </xf>
    <xf numFmtId="3" fontId="12" fillId="69" borderId="23" xfId="1877" applyNumberFormat="1" applyFont="1" applyFill="1" applyBorder="1" applyAlignment="1">
      <alignment horizontal="center" vertical="center" wrapText="1"/>
    </xf>
    <xf numFmtId="3" fontId="12" fillId="69" borderId="39" xfId="1877" applyNumberFormat="1" applyFont="1" applyFill="1" applyBorder="1" applyAlignment="1">
      <alignment horizontal="center" vertical="center" wrapText="1"/>
    </xf>
    <xf numFmtId="3" fontId="12" fillId="69" borderId="21" xfId="1877" applyNumberFormat="1" applyFont="1" applyFill="1" applyBorder="1" applyAlignment="1">
      <alignment horizontal="center" vertical="center" wrapText="1"/>
    </xf>
    <xf numFmtId="3" fontId="12" fillId="69" borderId="44" xfId="1877" applyNumberFormat="1" applyFont="1" applyFill="1" applyBorder="1" applyAlignment="1">
      <alignment horizontal="center" vertical="center" wrapText="1"/>
    </xf>
    <xf numFmtId="3" fontId="12" fillId="69" borderId="42" xfId="1877" applyNumberFormat="1" applyFont="1" applyFill="1" applyBorder="1" applyAlignment="1">
      <alignment horizontal="center" vertical="center"/>
    </xf>
    <xf numFmtId="3" fontId="12" fillId="69" borderId="41" xfId="1877" applyNumberFormat="1" applyFont="1" applyFill="1" applyBorder="1" applyAlignment="1">
      <alignment horizontal="center" vertical="center"/>
    </xf>
    <xf numFmtId="3" fontId="12" fillId="69" borderId="43" xfId="1877" applyNumberFormat="1" applyFont="1" applyFill="1" applyBorder="1" applyAlignment="1">
      <alignment horizontal="center" vertical="center"/>
    </xf>
    <xf numFmtId="0" fontId="12" fillId="69" borderId="39" xfId="0" applyFont="1" applyFill="1" applyBorder="1" applyAlignment="1" applyProtection="1">
      <alignment horizontal="center" vertical="center" wrapText="1"/>
      <protection locked="0"/>
    </xf>
    <xf numFmtId="0" fontId="12" fillId="69" borderId="40" xfId="0" applyFont="1" applyFill="1" applyBorder="1" applyAlignment="1" applyProtection="1">
      <alignment horizontal="center" vertical="center"/>
      <protection locked="0"/>
    </xf>
    <xf numFmtId="0" fontId="12" fillId="69" borderId="21" xfId="0" applyFont="1" applyFill="1" applyBorder="1" applyAlignment="1" applyProtection="1">
      <alignment horizontal="center" vertical="center"/>
      <protection locked="0"/>
    </xf>
    <xf numFmtId="0" fontId="12" fillId="69" borderId="0" xfId="0" applyFont="1" applyFill="1" applyBorder="1" applyAlignment="1" applyProtection="1">
      <alignment horizontal="center" vertical="center"/>
      <protection locked="0"/>
    </xf>
    <xf numFmtId="0" fontId="12" fillId="69" borderId="38" xfId="0" applyFont="1" applyFill="1" applyBorder="1" applyAlignment="1" applyProtection="1">
      <alignment horizontal="center" vertical="center"/>
      <protection locked="0"/>
    </xf>
    <xf numFmtId="0" fontId="12" fillId="69" borderId="18" xfId="0" applyFont="1" applyFill="1" applyBorder="1" applyAlignment="1" applyProtection="1">
      <alignment horizontal="center" vertical="center"/>
      <protection locked="0"/>
    </xf>
    <xf numFmtId="0" fontId="12" fillId="69" borderId="49" xfId="0" applyFont="1" applyFill="1" applyBorder="1" applyAlignment="1" applyProtection="1">
      <alignment horizontal="center" vertical="center"/>
      <protection locked="0"/>
    </xf>
    <xf numFmtId="0" fontId="12" fillId="69" borderId="39" xfId="0" applyFont="1" applyFill="1" applyBorder="1" applyAlignment="1" applyProtection="1">
      <alignment horizontal="center" vertical="center"/>
      <protection locked="0"/>
    </xf>
    <xf numFmtId="0" fontId="12" fillId="69" borderId="40" xfId="0" applyFont="1" applyFill="1" applyBorder="1" applyAlignment="1" applyProtection="1">
      <alignment horizontal="center" vertical="center" wrapText="1"/>
      <protection locked="0"/>
    </xf>
    <xf numFmtId="176" fontId="12" fillId="69" borderId="34" xfId="1877" applyNumberFormat="1" applyFont="1" applyFill="1" applyBorder="1" applyAlignment="1">
      <alignment horizontal="center" vertical="center" wrapText="1"/>
    </xf>
    <xf numFmtId="3" fontId="12" fillId="69" borderId="48" xfId="1877" applyNumberFormat="1" applyFont="1" applyFill="1" applyBorder="1" applyAlignment="1">
      <alignment horizontal="center" vertical="center"/>
    </xf>
    <xf numFmtId="3" fontId="12" fillId="69" borderId="2" xfId="1877" applyNumberFormat="1" applyFont="1" applyFill="1" applyBorder="1" applyAlignment="1">
      <alignment horizontal="center" vertical="center"/>
    </xf>
    <xf numFmtId="0" fontId="12" fillId="69" borderId="42" xfId="0" applyNumberFormat="1" applyFont="1" applyFill="1" applyBorder="1" applyAlignment="1" applyProtection="1">
      <alignment horizontal="center" vertical="center"/>
      <protection locked="0"/>
    </xf>
    <xf numFmtId="0" fontId="12" fillId="69" borderId="41" xfId="0" applyNumberFormat="1" applyFont="1" applyFill="1" applyBorder="1" applyAlignment="1" applyProtection="1">
      <alignment horizontal="center" vertical="center"/>
      <protection locked="0"/>
    </xf>
    <xf numFmtId="0" fontId="12" fillId="69" borderId="43" xfId="0" applyNumberFormat="1" applyFont="1" applyFill="1" applyBorder="1" applyAlignment="1" applyProtection="1">
      <alignment horizontal="center" vertical="center"/>
      <protection locked="0"/>
    </xf>
    <xf numFmtId="0" fontId="12" fillId="69" borderId="35" xfId="0" applyNumberFormat="1" applyFont="1" applyFill="1" applyBorder="1" applyAlignment="1" applyProtection="1">
      <alignment horizontal="center" vertical="center"/>
      <protection locked="0"/>
    </xf>
    <xf numFmtId="0" fontId="12" fillId="69" borderId="2" xfId="0" applyNumberFormat="1" applyFont="1" applyFill="1" applyBorder="1" applyAlignment="1" applyProtection="1">
      <alignment horizontal="center" vertical="center"/>
      <protection locked="0"/>
    </xf>
    <xf numFmtId="0" fontId="12" fillId="69" borderId="45" xfId="0" applyNumberFormat="1" applyFont="1" applyFill="1" applyBorder="1" applyAlignment="1" applyProtection="1">
      <alignment horizontal="center" vertical="center"/>
      <protection locked="0"/>
    </xf>
    <xf numFmtId="0" fontId="12" fillId="69" borderId="44" xfId="0" applyNumberFormat="1" applyFont="1" applyFill="1" applyBorder="1" applyAlignment="1" applyProtection="1">
      <alignment horizontal="center" vertical="center"/>
      <protection locked="0"/>
    </xf>
    <xf numFmtId="49" fontId="7" fillId="0" borderId="23" xfId="0" applyNumberFormat="1" applyFont="1" applyBorder="1" applyAlignment="1">
      <alignment horizontal="left"/>
    </xf>
  </cellXfs>
  <cellStyles count="2479">
    <cellStyle name="          _x000d__x000a_386grabber=vga.3gr_x000d__x000a_" xfId="1" xr:uid="{00000000-0005-0000-0000-000000000000}"/>
    <cellStyle name="          _x000d__x000a_shell=progman.exe_x000d__x000a_m" xfId="2" xr:uid="{00000000-0005-0000-0000-000001000000}"/>
    <cellStyle name="_x000a_386grabber=M" xfId="3" xr:uid="{00000000-0005-0000-0000-000002000000}"/>
    <cellStyle name="_x000a_386grabber=M 2" xfId="4" xr:uid="{00000000-0005-0000-0000-000003000000}"/>
    <cellStyle name="$" xfId="5" xr:uid="{00000000-0005-0000-0000-000004000000}"/>
    <cellStyle name="$_db진흥" xfId="6" xr:uid="{00000000-0005-0000-0000-000005000000}"/>
    <cellStyle name="$_견적2" xfId="7" xr:uid="{00000000-0005-0000-0000-000006000000}"/>
    <cellStyle name="$_기아" xfId="8" xr:uid="{00000000-0005-0000-0000-000007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9" xr:uid="{00000000-0005-0000-0000-000008000000}"/>
    <cellStyle name="?? [0.00]_pr" xfId="10" xr:uid="{00000000-0005-0000-0000-000009000000}"/>
    <cellStyle name="?? [0]_??? " xfId="11" xr:uid="{00000000-0005-0000-0000-00000A000000}"/>
    <cellStyle name="??&amp;O?&amp;H?_x0008__x000f__x0007_?_x0007__x0001__x0001_" xfId="12" xr:uid="{00000000-0005-0000-0000-00000B000000}"/>
    <cellStyle name="??&amp;O?&amp;H?_x0008_??_x0007__x0001__x0001_" xfId="13" xr:uid="{00000000-0005-0000-0000-00000C000000}"/>
    <cellStyle name="??&amp;O?&amp;H?_x0008_x_x000b_P_x000c__x0007__x0001__x0001_" xfId="14" xr:uid="{00000000-0005-0000-0000-00000D000000}"/>
    <cellStyle name="???­" xfId="15" xr:uid="{00000000-0005-0000-0000-00000E000000}"/>
    <cellStyle name="???­ [0]" xfId="16" xr:uid="{00000000-0005-0000-0000-00000F000000}"/>
    <cellStyle name="???? [0.00]_1997 Turns" xfId="17" xr:uid="{00000000-0005-0000-0000-000010000000}"/>
    <cellStyle name="???? [0]_????? " xfId="18" xr:uid="{00000000-0005-0000-0000-000011000000}"/>
    <cellStyle name="?????_VERA" xfId="19" xr:uid="{00000000-0005-0000-0000-000012000000}"/>
    <cellStyle name="????_????? " xfId="20" xr:uid="{00000000-0005-0000-0000-000013000000}"/>
    <cellStyle name="???­_¸???" xfId="21" xr:uid="{00000000-0005-0000-0000-000014000000}"/>
    <cellStyle name="???ø" xfId="22" xr:uid="{00000000-0005-0000-0000-000015000000}"/>
    <cellStyle name="??_??? " xfId="23" xr:uid="{00000000-0005-0000-0000-000016000000}"/>
    <cellStyle name="?þ¸¶" xfId="24" xr:uid="{00000000-0005-0000-0000-000017000000}"/>
    <cellStyle name="?þ¸¶ [0]" xfId="25" xr:uid="{00000000-0005-0000-0000-000018000000}"/>
    <cellStyle name="?þ¸¶_¸???" xfId="26" xr:uid="{00000000-0005-0000-0000-000019000000}"/>
    <cellStyle name="?W?_laroux" xfId="27" xr:uid="{00000000-0005-0000-0000-00001A000000}"/>
    <cellStyle name="?霖_?寇bal" xfId="28" xr:uid="{00000000-0005-0000-0000-00001B000000}"/>
    <cellStyle name="?핺_CASH FLOW " xfId="29" xr:uid="{00000000-0005-0000-0000-00001C000000}"/>
    <cellStyle name="]_^[꺞_x0008_?" xfId="30" xr:uid="{00000000-0005-0000-0000-00001D000000}"/>
    <cellStyle name="_(07-07-19)1사분기 영업실적(잠정) 자료제출요구서(양식-일반)(1)" xfId="31" xr:uid="{00000000-0005-0000-0000-00001E000000}"/>
    <cellStyle name="_-* #,##0_-;-* #,##0_-;_-* &quot;-&quot;_-;_-@_-" xfId="32" xr:uid="{00000000-0005-0000-0000-00001F000000}"/>
    <cellStyle name="_-* #,##0_-;-* #,##0_-;_-* &quot;-&quot;_-;_-@_- 2" xfId="33" xr:uid="{00000000-0005-0000-0000-000020000000}"/>
    <cellStyle name="_-* #,##0_-;-* #,##0_-;_-* &quot;-&quot;_-;_-@_- 2 2" xfId="34" xr:uid="{00000000-0005-0000-0000-000021000000}"/>
    <cellStyle name="_-* #,##0_-;-* #,##0_-;_-* &quot;-&quot;_-;_-@_- 2 2 2" xfId="35" xr:uid="{00000000-0005-0000-0000-000022000000}"/>
    <cellStyle name="_-* #,##0_-;-* #,##0_-;_-* &quot;-&quot;_-;_-@_- 2 2 3" xfId="36" xr:uid="{00000000-0005-0000-0000-000023000000}"/>
    <cellStyle name="_-* #,##0_-;-* #,##0_-;_-* &quot;-&quot;_-;_-@_- 2 3" xfId="37" xr:uid="{00000000-0005-0000-0000-000024000000}"/>
    <cellStyle name="_-* #,##0_-;-* #,##0_-;_-* &quot;-&quot;_-;_-@_- 2 4" xfId="38" xr:uid="{00000000-0005-0000-0000-000025000000}"/>
    <cellStyle name="_-* #,##0_-;-* #,##0_-;_-* &quot;-&quot;_-;_-@_- 3" xfId="39" xr:uid="{00000000-0005-0000-0000-000026000000}"/>
    <cellStyle name="_-* #,##0_-;-* #,##0_-;_-* &quot;-&quot;_-;_-@_- 3 2" xfId="40" xr:uid="{00000000-0005-0000-0000-000027000000}"/>
    <cellStyle name="_-* #,##0_-;-* #,##0_-;_-* &quot;-&quot;_-;_-@_- 3 3" xfId="41" xr:uid="{00000000-0005-0000-0000-000028000000}"/>
    <cellStyle name="_-* #,##0_-;-* #,##0_-;_-* &quot;-&quot;_-;_-@_- 4" xfId="42" xr:uid="{00000000-0005-0000-0000-000029000000}"/>
    <cellStyle name="_-* #,##0_-;-* #,##0_-;_-* &quot;-&quot;_-;_-@_- 5" xfId="43" xr:uid="{00000000-0005-0000-0000-00002A000000}"/>
    <cellStyle name="_~MF3326" xfId="44" xr:uid="{00000000-0005-0000-0000-00002B000000}"/>
    <cellStyle name="_~MF3326_1" xfId="45" xr:uid="{00000000-0005-0000-0000-00002C000000}"/>
    <cellStyle name="_~MF3326_2" xfId="46" xr:uid="{00000000-0005-0000-0000-00002D000000}"/>
    <cellStyle name="_~MF3326_3" xfId="47" xr:uid="{00000000-0005-0000-0000-00002E000000}"/>
    <cellStyle name="_~MF3326_4" xfId="48" xr:uid="{00000000-0005-0000-0000-00002F000000}"/>
    <cellStyle name="_~MF3326_4 2" xfId="49" xr:uid="{00000000-0005-0000-0000-000030000000}"/>
    <cellStyle name="_~MF3326_5" xfId="50" xr:uid="{00000000-0005-0000-0000-000031000000}"/>
    <cellStyle name="_~MF3326_자회사배당익불산고려(7(1).18)" xfId="51" xr:uid="{00000000-0005-0000-0000-000032000000}"/>
    <cellStyle name="_00 개정내용(종합)(2400~2500)(개정)" xfId="52" xr:uid="{00000000-0005-0000-0000-000033000000}"/>
    <cellStyle name="_030820 Final 확정업무보고서(2003.2분기)" xfId="53" xr:uid="{00000000-0005-0000-0000-000034000000}"/>
    <cellStyle name="_08_공지_영업본부편성상세" xfId="54" xr:uid="{00000000-0005-0000-0000-000035000000}"/>
    <cellStyle name="_0902" xfId="55" xr:uid="{00000000-0005-0000-0000-000036000000}"/>
    <cellStyle name="_175기3분기주석(통합은행)" xfId="56" xr:uid="{00000000-0005-0000-0000-000037000000}"/>
    <cellStyle name="_175기주석(양식)" xfId="57" xr:uid="{00000000-0005-0000-0000-000038000000}"/>
    <cellStyle name="_2003.3_4분기_경영관리팀_82~83_제출_현호씨" xfId="58" xr:uid="{00000000-0005-0000-0000-000039000000}"/>
    <cellStyle name="_2003.3_4분기_경영관리팀_할부금융,비용" xfId="59" xr:uid="{00000000-0005-0000-0000-00003A000000}"/>
    <cellStyle name="_2003.4_4분기_경영관리팀(김기배대리)" xfId="60" xr:uid="{00000000-0005-0000-0000-00003B000000}"/>
    <cellStyle name="_2003.4_4분기_경영관리팀(김기배대리)_20040316" xfId="61" xr:uid="{00000000-0005-0000-0000-00003C000000}"/>
    <cellStyle name="_2라_자산건전성(051223)" xfId="62" xr:uid="{00000000-0005-0000-0000-00003D000000}"/>
    <cellStyle name="_2마_수익성(061222)" xfId="63" xr:uid="{00000000-0005-0000-0000-00003E000000}"/>
    <cellStyle name="_6월자산건전성분류(최종)8월26일s" xfId="64" xr:uid="{00000000-0005-0000-0000-00003F000000}"/>
    <cellStyle name="_6월자산건전성분류_최종" xfId="65" xr:uid="{00000000-0005-0000-0000-000040000000}"/>
    <cellStyle name="_7월누적투자" xfId="66" xr:uid="{00000000-0005-0000-0000-000041000000}"/>
    <cellStyle name="_B2401(개정)" xfId="67" xr:uid="{00000000-0005-0000-0000-000042000000}"/>
    <cellStyle name="_B2401-최종" xfId="68" xr:uid="{00000000-0005-0000-0000-000043000000}"/>
    <cellStyle name="_b2402-shb-0609-총괄(1)" xfId="69" xr:uid="{00000000-0005-0000-0000-000044000000}"/>
    <cellStyle name="_B2403F5(0606)_060710" xfId="70" xr:uid="{00000000-0005-0000-0000-000045000000}"/>
    <cellStyle name="_B2403F5(0606)_060710(최종)" xfId="71" xr:uid="{00000000-0005-0000-0000-000046000000}"/>
    <cellStyle name="_B2403F5(0610)_061115" xfId="72" xr:uid="{00000000-0005-0000-0000-000047000000}"/>
    <cellStyle name="_B2506(구조흥)200609" xfId="73" xr:uid="{00000000-0005-0000-0000-000048000000}"/>
    <cellStyle name="_Book1" xfId="74" xr:uid="{00000000-0005-0000-0000-000049000000}"/>
    <cellStyle name="_foxz" xfId="75" xr:uid="{00000000-0005-0000-0000-00004A000000}"/>
    <cellStyle name="_leadsheet(스파클)" xfId="76" xr:uid="{00000000-0005-0000-0000-00004B000000}"/>
    <cellStyle name="_PF_요주의" xfId="77" xr:uid="{00000000-0005-0000-0000-00004C000000}"/>
    <cellStyle name="_Research_Report용(2001년말).xls Chart 1" xfId="78" xr:uid="{00000000-0005-0000-0000-00004D000000}"/>
    <cellStyle name="_Research_Report용(2001년말).xls Chart 10" xfId="79" xr:uid="{00000000-0005-0000-0000-00004E000000}"/>
    <cellStyle name="_Research_Report용(2001년말).xls Chart 11" xfId="80" xr:uid="{00000000-0005-0000-0000-00004F000000}"/>
    <cellStyle name="_Research_Report용(2001년말).xls Chart 12" xfId="81" xr:uid="{00000000-0005-0000-0000-000050000000}"/>
    <cellStyle name="_Research_Report용(2001년말).xls Chart 13" xfId="82" xr:uid="{00000000-0005-0000-0000-000051000000}"/>
    <cellStyle name="_Research_Report용(2001년말).xls Chart 14" xfId="83" xr:uid="{00000000-0005-0000-0000-000052000000}"/>
    <cellStyle name="_Research_Report용(2001년말).xls Chart 15" xfId="84" xr:uid="{00000000-0005-0000-0000-000053000000}"/>
    <cellStyle name="_Research_Report용(2001년말).xls Chart 16" xfId="85" xr:uid="{00000000-0005-0000-0000-000054000000}"/>
    <cellStyle name="_Research_Report용(2001년말).xls Chart 17" xfId="86" xr:uid="{00000000-0005-0000-0000-000055000000}"/>
    <cellStyle name="_Research_Report용(2001년말).xls Chart 18" xfId="87" xr:uid="{00000000-0005-0000-0000-000056000000}"/>
    <cellStyle name="_Research_Report용(2001년말).xls Chart 19" xfId="88" xr:uid="{00000000-0005-0000-0000-000057000000}"/>
    <cellStyle name="_Research_Report용(2001년말).xls Chart 2" xfId="89" xr:uid="{00000000-0005-0000-0000-000058000000}"/>
    <cellStyle name="_Research_Report용(2001년말).xls Chart 20" xfId="90" xr:uid="{00000000-0005-0000-0000-000059000000}"/>
    <cellStyle name="_Research_Report용(2001년말).xls Chart 21" xfId="91" xr:uid="{00000000-0005-0000-0000-00005A000000}"/>
    <cellStyle name="_Research_Report용(2001년말).xls Chart 3" xfId="92" xr:uid="{00000000-0005-0000-0000-00005B000000}"/>
    <cellStyle name="_Research_Report용(2001년말).xls Chart 4" xfId="93" xr:uid="{00000000-0005-0000-0000-00005C000000}"/>
    <cellStyle name="_Research_Report용(2001년말).xls Chart 5" xfId="94" xr:uid="{00000000-0005-0000-0000-00005D000000}"/>
    <cellStyle name="_Research_Report용(2001년말).xls Chart 6" xfId="95" xr:uid="{00000000-0005-0000-0000-00005E000000}"/>
    <cellStyle name="_Research_Report용(2001년말).xls Chart 7" xfId="96" xr:uid="{00000000-0005-0000-0000-00005F000000}"/>
    <cellStyle name="_Research_Report용(2001년말).xls Chart 8" xfId="97" xr:uid="{00000000-0005-0000-0000-000060000000}"/>
    <cellStyle name="_Research_Report용(2001년말).xls Chart 9" xfId="98" xr:uid="{00000000-0005-0000-0000-000061000000}"/>
    <cellStyle name="_Row1" xfId="99" xr:uid="{00000000-0005-0000-0000-000062000000}"/>
    <cellStyle name="_SC Bank 2003 CTR WP" xfId="100" xr:uid="{00000000-0005-0000-0000-000063000000}"/>
    <cellStyle name="_감독원용재무제표0606" xfId="101" xr:uid="{00000000-0005-0000-0000-000064000000}"/>
    <cellStyle name="_개발비상각1" xfId="102" xr:uid="{00000000-0005-0000-0000-000065000000}"/>
    <cellStyle name="_건설및조선업에대한추가적립_200812" xfId="103" xr:uid="{00000000-0005-0000-0000-000066000000}"/>
    <cellStyle name="_결산200412_0124_v1_감사후_bs pl" xfId="104" xr:uid="{00000000-0005-0000-0000-000067000000}"/>
    <cellStyle name="_경영관리3분기_박정호대리비용" xfId="105" xr:uid="{00000000-0005-0000-0000-000068000000}"/>
    <cellStyle name="_경영관리비용(0204김기배)" xfId="106" xr:uid="{00000000-0005-0000-0000-000069000000}"/>
    <cellStyle name="_경영관리비용(0304김기배최종)" xfId="107" xr:uid="{00000000-0005-0000-0000-00006A000000}"/>
    <cellStyle name="_경영관리팀(2002.4_4분기)" xfId="108" xr:uid="{00000000-0005-0000-0000-00006B000000}"/>
    <cellStyle name="_고정이하발생회수" xfId="109" xr:uid="{00000000-0005-0000-0000-00006C000000}"/>
    <cellStyle name="_대차대조표(공고용)_20070630_(최종2)" xfId="110" xr:uid="{00000000-0005-0000-0000-00006D000000}"/>
    <cellStyle name="_리스크관리부" xfId="111" xr:uid="{00000000-0005-0000-0000-00006E000000}"/>
    <cellStyle name="_박지현 회계사(20050323)" xfId="112" xr:uid="{00000000-0005-0000-0000-00006F000000}"/>
    <cellStyle name="_백만원" xfId="113" xr:uid="{00000000-0005-0000-0000-000070000000}"/>
    <cellStyle name="_분류추이" xfId="114" xr:uid="{00000000-0005-0000-0000-000071000000}"/>
    <cellStyle name="_분류현황" xfId="115" xr:uid="{00000000-0005-0000-0000-000072000000}"/>
    <cellStyle name="_사업본부" xfId="116" xr:uid="{00000000-0005-0000-0000-000073000000}"/>
    <cellStyle name="_소코드1" xfId="117" xr:uid="{00000000-0005-0000-0000-000074000000}"/>
    <cellStyle name="_수정사항(8월26일)" xfId="118" xr:uid="{00000000-0005-0000-0000-000075000000}"/>
    <cellStyle name="_업무보고서(2003.6월)미수금예수금조정" xfId="119" xr:uid="{00000000-0005-0000-0000-000076000000}"/>
    <cellStyle name="_영업외손익 LS" xfId="120" xr:uid="{00000000-0005-0000-0000-000077000000}"/>
    <cellStyle name="_오호석부장1014" xfId="121" xr:uid="{00000000-0005-0000-0000-000078000000}"/>
    <cellStyle name="_오호석차장0625" xfId="122" xr:uid="{00000000-0005-0000-0000-000079000000}"/>
    <cellStyle name="_오호석차장0723" xfId="123" xr:uid="{00000000-0005-0000-0000-00007A000000}"/>
    <cellStyle name="_이재민과장0206_무형자산상각" xfId="124" xr:uid="{00000000-0005-0000-0000-00007B000000}"/>
    <cellStyle name="_이진우대리(0540725)" xfId="125" xr:uid="{00000000-0005-0000-0000-00007C000000}"/>
    <cellStyle name="_이진우氏0204(2)" xfId="126" xr:uid="{00000000-0005-0000-0000-00007D000000}"/>
    <cellStyle name="_이진우氏0727" xfId="127" xr:uid="{00000000-0005-0000-0000-00007E000000}"/>
    <cellStyle name="_자회사배당익불산고려(7(1).18)" xfId="128" xr:uid="{00000000-0005-0000-0000-00007F000000}"/>
    <cellStyle name="_정보제공(정보제공지수)" xfId="129" xr:uid="{00000000-0005-0000-0000-000080000000}"/>
    <cellStyle name="_충당금결산0706(최종)" xfId="130" xr:uid="{00000000-0005-0000-0000-000081000000}"/>
    <cellStyle name="_판관,제조경비" xfId="131" xr:uid="{00000000-0005-0000-0000-000082000000}"/>
    <cellStyle name="_판관비 LS" xfId="132" xr:uid="{00000000-0005-0000-0000-000083000000}"/>
    <cellStyle name="’E‰Y [0.00]_laroux" xfId="133" xr:uid="{00000000-0005-0000-0000-000084000000}"/>
    <cellStyle name="’E‰Y_laroux" xfId="134" xr:uid="{00000000-0005-0000-0000-000085000000}"/>
    <cellStyle name="æøè [0.00" xfId="135" xr:uid="{00000000-0005-0000-0000-000086000000}"/>
    <cellStyle name="æØè [0.00]_PRODUCT DETAIL Q1" xfId="136" xr:uid="{00000000-0005-0000-0000-000087000000}"/>
    <cellStyle name="æøè [0.00_별지 2" xfId="137" xr:uid="{00000000-0005-0000-0000-000088000000}"/>
    <cellStyle name="æøè_produ" xfId="138" xr:uid="{00000000-0005-0000-0000-000089000000}"/>
    <cellStyle name="êý [0.00]_pr" xfId="139" xr:uid="{00000000-0005-0000-0000-00008A000000}"/>
    <cellStyle name="êý_product d" xfId="140" xr:uid="{00000000-0005-0000-0000-00008B000000}"/>
    <cellStyle name="W?_BOOKSHIP" xfId="141" xr:uid="{00000000-0005-0000-0000-00008C000000}"/>
    <cellStyle name="w_bookship" xfId="142" xr:uid="{00000000-0005-0000-0000-00008D000000}"/>
    <cellStyle name="0" xfId="143" xr:uid="{00000000-0005-0000-0000-00008E000000}"/>
    <cellStyle name="0 2" xfId="144" xr:uid="{00000000-0005-0000-0000-00008F000000}"/>
    <cellStyle name="0 3" xfId="145" xr:uid="{00000000-0005-0000-0000-000090000000}"/>
    <cellStyle name="0,0_x000d__x000a_NA_x000d__x000a_" xfId="146" xr:uid="{00000000-0005-0000-0000-000091000000}"/>
    <cellStyle name="0_신용위험및중기대부문 조사표(081109)_펀드담보대출" xfId="147" xr:uid="{00000000-0005-0000-0000-000092000000}"/>
    <cellStyle name="0_신용위험및중기대부문 조사표(081109)_펀드담보대출 2" xfId="148" xr:uid="{00000000-0005-0000-0000-000093000000}"/>
    <cellStyle name="0_신한_0902" xfId="149" xr:uid="{00000000-0005-0000-0000-000094000000}"/>
    <cellStyle name="0_신한_0902 2" xfId="150" xr:uid="{00000000-0005-0000-0000-000095000000}"/>
    <cellStyle name="¹?ºð?²" xfId="151" xr:uid="{00000000-0005-0000-0000-000096000000}"/>
    <cellStyle name="19990216" xfId="152" xr:uid="{00000000-0005-0000-0000-000097000000}"/>
    <cellStyle name="¹éºðà²" xfId="153" xr:uid="{00000000-0005-0000-0000-000098000000}"/>
    <cellStyle name="¹eºÐA²_AIAIC°AuCoE² " xfId="154" xr:uid="{00000000-0005-0000-0000-000099000000}"/>
    <cellStyle name="20% - Accent1" xfId="155" xr:uid="{00000000-0005-0000-0000-00009A000000}"/>
    <cellStyle name="20% - Accent1 2" xfId="156" xr:uid="{00000000-0005-0000-0000-00009B000000}"/>
    <cellStyle name="20% - Accent2" xfId="157" xr:uid="{00000000-0005-0000-0000-00009C000000}"/>
    <cellStyle name="20% - Accent2 2" xfId="158" xr:uid="{00000000-0005-0000-0000-00009D000000}"/>
    <cellStyle name="20% - Accent3" xfId="159" xr:uid="{00000000-0005-0000-0000-00009E000000}"/>
    <cellStyle name="20% - Accent3 2" xfId="160" xr:uid="{00000000-0005-0000-0000-00009F000000}"/>
    <cellStyle name="20% - Accent4" xfId="161" xr:uid="{00000000-0005-0000-0000-0000A0000000}"/>
    <cellStyle name="20% - Accent4 2" xfId="162" xr:uid="{00000000-0005-0000-0000-0000A1000000}"/>
    <cellStyle name="20% - Accent5" xfId="163" xr:uid="{00000000-0005-0000-0000-0000A2000000}"/>
    <cellStyle name="20% - Accent5 2" xfId="164" xr:uid="{00000000-0005-0000-0000-0000A3000000}"/>
    <cellStyle name="20% - Accent6" xfId="165" xr:uid="{00000000-0005-0000-0000-0000A4000000}"/>
    <cellStyle name="20% - Accent6 2" xfId="166" xr:uid="{00000000-0005-0000-0000-0000A5000000}"/>
    <cellStyle name="20% - 강조색1 10" xfId="167" xr:uid="{00000000-0005-0000-0000-0000A6000000}"/>
    <cellStyle name="20% - 강조색1 11" xfId="168" xr:uid="{00000000-0005-0000-0000-0000A7000000}"/>
    <cellStyle name="20% - 강조색1 12" xfId="169" xr:uid="{00000000-0005-0000-0000-0000A8000000}"/>
    <cellStyle name="20% - 강조색1 13" xfId="170" xr:uid="{00000000-0005-0000-0000-0000A9000000}"/>
    <cellStyle name="20% - 강조색1 14" xfId="171" xr:uid="{00000000-0005-0000-0000-0000AA000000}"/>
    <cellStyle name="20% - 강조색1 15" xfId="172" xr:uid="{00000000-0005-0000-0000-0000AB000000}"/>
    <cellStyle name="20% - 강조색1 16" xfId="173" xr:uid="{00000000-0005-0000-0000-0000AC000000}"/>
    <cellStyle name="20% - 강조색1 17" xfId="174" xr:uid="{00000000-0005-0000-0000-0000AD000000}"/>
    <cellStyle name="20% - 강조색1 18" xfId="175" xr:uid="{00000000-0005-0000-0000-0000AE000000}"/>
    <cellStyle name="20% - 강조색1 2" xfId="176" xr:uid="{00000000-0005-0000-0000-0000AF000000}"/>
    <cellStyle name="20% - 강조색1 2 2" xfId="177" xr:uid="{00000000-0005-0000-0000-0000B0000000}"/>
    <cellStyle name="20% - 강조색1 3" xfId="178" xr:uid="{00000000-0005-0000-0000-0000B1000000}"/>
    <cellStyle name="20% - 강조색1 4" xfId="179" xr:uid="{00000000-0005-0000-0000-0000B2000000}"/>
    <cellStyle name="20% - 강조색1 4 2" xfId="180" xr:uid="{00000000-0005-0000-0000-0000B3000000}"/>
    <cellStyle name="20% - 강조색1 5" xfId="181" xr:uid="{00000000-0005-0000-0000-0000B4000000}"/>
    <cellStyle name="20% - 강조색1 6" xfId="182" xr:uid="{00000000-0005-0000-0000-0000B5000000}"/>
    <cellStyle name="20% - 강조색1 6 2" xfId="183" xr:uid="{00000000-0005-0000-0000-0000B6000000}"/>
    <cellStyle name="20% - 강조색1 6 3" xfId="184" xr:uid="{00000000-0005-0000-0000-0000B7000000}"/>
    <cellStyle name="20% - 강조색1 7" xfId="185" xr:uid="{00000000-0005-0000-0000-0000B8000000}"/>
    <cellStyle name="20% - 강조색1 7 2" xfId="186" xr:uid="{00000000-0005-0000-0000-0000B9000000}"/>
    <cellStyle name="20% - 강조색1 8" xfId="187" xr:uid="{00000000-0005-0000-0000-0000BA000000}"/>
    <cellStyle name="20% - 강조색1 8 2" xfId="188" xr:uid="{00000000-0005-0000-0000-0000BB000000}"/>
    <cellStyle name="20% - 강조색1 9" xfId="189" xr:uid="{00000000-0005-0000-0000-0000BC000000}"/>
    <cellStyle name="20% - 강조색1 9 2" xfId="190" xr:uid="{00000000-0005-0000-0000-0000BD000000}"/>
    <cellStyle name="20% - 강조색2 10" xfId="191" xr:uid="{00000000-0005-0000-0000-0000BE000000}"/>
    <cellStyle name="20% - 강조색2 11" xfId="192" xr:uid="{00000000-0005-0000-0000-0000BF000000}"/>
    <cellStyle name="20% - 강조색2 12" xfId="193" xr:uid="{00000000-0005-0000-0000-0000C0000000}"/>
    <cellStyle name="20% - 강조색2 13" xfId="194" xr:uid="{00000000-0005-0000-0000-0000C1000000}"/>
    <cellStyle name="20% - 강조색2 14" xfId="195" xr:uid="{00000000-0005-0000-0000-0000C2000000}"/>
    <cellStyle name="20% - 강조색2 15" xfId="196" xr:uid="{00000000-0005-0000-0000-0000C3000000}"/>
    <cellStyle name="20% - 강조색2 16" xfId="197" xr:uid="{00000000-0005-0000-0000-0000C4000000}"/>
    <cellStyle name="20% - 강조색2 17" xfId="198" xr:uid="{00000000-0005-0000-0000-0000C5000000}"/>
    <cellStyle name="20% - 강조색2 18" xfId="199" xr:uid="{00000000-0005-0000-0000-0000C6000000}"/>
    <cellStyle name="20% - 강조색2 2" xfId="200" xr:uid="{00000000-0005-0000-0000-0000C7000000}"/>
    <cellStyle name="20% - 강조색2 2 2" xfId="201" xr:uid="{00000000-0005-0000-0000-0000C8000000}"/>
    <cellStyle name="20% - 강조색2 3" xfId="202" xr:uid="{00000000-0005-0000-0000-0000C9000000}"/>
    <cellStyle name="20% - 강조색2 4" xfId="203" xr:uid="{00000000-0005-0000-0000-0000CA000000}"/>
    <cellStyle name="20% - 강조색2 4 2" xfId="204" xr:uid="{00000000-0005-0000-0000-0000CB000000}"/>
    <cellStyle name="20% - 강조색2 5" xfId="205" xr:uid="{00000000-0005-0000-0000-0000CC000000}"/>
    <cellStyle name="20% - 강조색2 6" xfId="206" xr:uid="{00000000-0005-0000-0000-0000CD000000}"/>
    <cellStyle name="20% - 강조색2 6 2" xfId="207" xr:uid="{00000000-0005-0000-0000-0000CE000000}"/>
    <cellStyle name="20% - 강조색2 6 3" xfId="208" xr:uid="{00000000-0005-0000-0000-0000CF000000}"/>
    <cellStyle name="20% - 강조색2 7" xfId="209" xr:uid="{00000000-0005-0000-0000-0000D0000000}"/>
    <cellStyle name="20% - 강조색2 7 2" xfId="210" xr:uid="{00000000-0005-0000-0000-0000D1000000}"/>
    <cellStyle name="20% - 강조색2 8" xfId="211" xr:uid="{00000000-0005-0000-0000-0000D2000000}"/>
    <cellStyle name="20% - 강조색2 8 2" xfId="212" xr:uid="{00000000-0005-0000-0000-0000D3000000}"/>
    <cellStyle name="20% - 강조색2 9" xfId="213" xr:uid="{00000000-0005-0000-0000-0000D4000000}"/>
    <cellStyle name="20% - 강조색2 9 2" xfId="214" xr:uid="{00000000-0005-0000-0000-0000D5000000}"/>
    <cellStyle name="20% - 강조색3 10" xfId="215" xr:uid="{00000000-0005-0000-0000-0000D6000000}"/>
    <cellStyle name="20% - 강조색3 11" xfId="216" xr:uid="{00000000-0005-0000-0000-0000D7000000}"/>
    <cellStyle name="20% - 강조색3 12" xfId="217" xr:uid="{00000000-0005-0000-0000-0000D8000000}"/>
    <cellStyle name="20% - 강조색3 13" xfId="218" xr:uid="{00000000-0005-0000-0000-0000D9000000}"/>
    <cellStyle name="20% - 강조색3 14" xfId="219" xr:uid="{00000000-0005-0000-0000-0000DA000000}"/>
    <cellStyle name="20% - 강조색3 15" xfId="220" xr:uid="{00000000-0005-0000-0000-0000DB000000}"/>
    <cellStyle name="20% - 강조색3 16" xfId="221" xr:uid="{00000000-0005-0000-0000-0000DC000000}"/>
    <cellStyle name="20% - 강조색3 17" xfId="222" xr:uid="{00000000-0005-0000-0000-0000DD000000}"/>
    <cellStyle name="20% - 강조색3 18" xfId="223" xr:uid="{00000000-0005-0000-0000-0000DE000000}"/>
    <cellStyle name="20% - 강조색3 2" xfId="224" xr:uid="{00000000-0005-0000-0000-0000DF000000}"/>
    <cellStyle name="20% - 강조색3 2 2" xfId="225" xr:uid="{00000000-0005-0000-0000-0000E0000000}"/>
    <cellStyle name="20% - 강조색3 3" xfId="226" xr:uid="{00000000-0005-0000-0000-0000E1000000}"/>
    <cellStyle name="20% - 강조색3 4" xfId="227" xr:uid="{00000000-0005-0000-0000-0000E2000000}"/>
    <cellStyle name="20% - 강조색3 4 2" xfId="228" xr:uid="{00000000-0005-0000-0000-0000E3000000}"/>
    <cellStyle name="20% - 강조색3 5" xfId="229" xr:uid="{00000000-0005-0000-0000-0000E4000000}"/>
    <cellStyle name="20% - 강조색3 6" xfId="230" xr:uid="{00000000-0005-0000-0000-0000E5000000}"/>
    <cellStyle name="20% - 강조색3 6 2" xfId="231" xr:uid="{00000000-0005-0000-0000-0000E6000000}"/>
    <cellStyle name="20% - 강조색3 6 3" xfId="232" xr:uid="{00000000-0005-0000-0000-0000E7000000}"/>
    <cellStyle name="20% - 강조색3 7" xfId="233" xr:uid="{00000000-0005-0000-0000-0000E8000000}"/>
    <cellStyle name="20% - 강조색3 7 2" xfId="234" xr:uid="{00000000-0005-0000-0000-0000E9000000}"/>
    <cellStyle name="20% - 강조색3 8" xfId="235" xr:uid="{00000000-0005-0000-0000-0000EA000000}"/>
    <cellStyle name="20% - 강조색3 8 2" xfId="236" xr:uid="{00000000-0005-0000-0000-0000EB000000}"/>
    <cellStyle name="20% - 강조색3 9" xfId="237" xr:uid="{00000000-0005-0000-0000-0000EC000000}"/>
    <cellStyle name="20% - 강조색3 9 2" xfId="238" xr:uid="{00000000-0005-0000-0000-0000ED000000}"/>
    <cellStyle name="20% - 강조색4 10" xfId="239" xr:uid="{00000000-0005-0000-0000-0000EE000000}"/>
    <cellStyle name="20% - 강조색4 11" xfId="240" xr:uid="{00000000-0005-0000-0000-0000EF000000}"/>
    <cellStyle name="20% - 강조색4 12" xfId="241" xr:uid="{00000000-0005-0000-0000-0000F0000000}"/>
    <cellStyle name="20% - 강조색4 13" xfId="242" xr:uid="{00000000-0005-0000-0000-0000F1000000}"/>
    <cellStyle name="20% - 강조색4 14" xfId="243" xr:uid="{00000000-0005-0000-0000-0000F2000000}"/>
    <cellStyle name="20% - 강조색4 15" xfId="244" xr:uid="{00000000-0005-0000-0000-0000F3000000}"/>
    <cellStyle name="20% - 강조색4 16" xfId="245" xr:uid="{00000000-0005-0000-0000-0000F4000000}"/>
    <cellStyle name="20% - 강조색4 17" xfId="246" xr:uid="{00000000-0005-0000-0000-0000F5000000}"/>
    <cellStyle name="20% - 강조색4 18" xfId="247" xr:uid="{00000000-0005-0000-0000-0000F6000000}"/>
    <cellStyle name="20% - 강조색4 2" xfId="248" xr:uid="{00000000-0005-0000-0000-0000F7000000}"/>
    <cellStyle name="20% - 강조색4 2 2" xfId="249" xr:uid="{00000000-0005-0000-0000-0000F8000000}"/>
    <cellStyle name="20% - 강조색4 3" xfId="250" xr:uid="{00000000-0005-0000-0000-0000F9000000}"/>
    <cellStyle name="20% - 강조색4 4" xfId="251" xr:uid="{00000000-0005-0000-0000-0000FA000000}"/>
    <cellStyle name="20% - 강조색4 4 2" xfId="252" xr:uid="{00000000-0005-0000-0000-0000FB000000}"/>
    <cellStyle name="20% - 강조색4 5" xfId="253" xr:uid="{00000000-0005-0000-0000-0000FC000000}"/>
    <cellStyle name="20% - 강조색4 6" xfId="254" xr:uid="{00000000-0005-0000-0000-0000FD000000}"/>
    <cellStyle name="20% - 강조색4 6 2" xfId="255" xr:uid="{00000000-0005-0000-0000-0000FE000000}"/>
    <cellStyle name="20% - 강조색4 6 3" xfId="256" xr:uid="{00000000-0005-0000-0000-0000FF000000}"/>
    <cellStyle name="20% - 강조색4 7" xfId="257" xr:uid="{00000000-0005-0000-0000-000000010000}"/>
    <cellStyle name="20% - 강조색4 7 2" xfId="258" xr:uid="{00000000-0005-0000-0000-000001010000}"/>
    <cellStyle name="20% - 강조색4 8" xfId="259" xr:uid="{00000000-0005-0000-0000-000002010000}"/>
    <cellStyle name="20% - 강조색4 8 2" xfId="260" xr:uid="{00000000-0005-0000-0000-000003010000}"/>
    <cellStyle name="20% - 강조색4 9" xfId="261" xr:uid="{00000000-0005-0000-0000-000004010000}"/>
    <cellStyle name="20% - 강조색4 9 2" xfId="262" xr:uid="{00000000-0005-0000-0000-000005010000}"/>
    <cellStyle name="20% - 강조색5" xfId="263" builtinId="46" customBuiltin="1"/>
    <cellStyle name="20% - 강조색5 10" xfId="264" xr:uid="{00000000-0005-0000-0000-000007010000}"/>
    <cellStyle name="20% - 강조색5 11" xfId="265" xr:uid="{00000000-0005-0000-0000-000008010000}"/>
    <cellStyle name="20% - 강조색5 12" xfId="266" xr:uid="{00000000-0005-0000-0000-000009010000}"/>
    <cellStyle name="20% - 강조색5 13" xfId="267" xr:uid="{00000000-0005-0000-0000-00000A010000}"/>
    <cellStyle name="20% - 강조색5 14" xfId="268" xr:uid="{00000000-0005-0000-0000-00000B010000}"/>
    <cellStyle name="20% - 강조색5 15" xfId="269" xr:uid="{00000000-0005-0000-0000-00000C010000}"/>
    <cellStyle name="20% - 강조색5 16" xfId="270" xr:uid="{00000000-0005-0000-0000-00000D010000}"/>
    <cellStyle name="20% - 강조색5 17" xfId="271" xr:uid="{00000000-0005-0000-0000-00000E010000}"/>
    <cellStyle name="20% - 강조색5 2" xfId="272" xr:uid="{00000000-0005-0000-0000-00000F010000}"/>
    <cellStyle name="20% - 강조색5 2 2" xfId="273" xr:uid="{00000000-0005-0000-0000-000010010000}"/>
    <cellStyle name="20% - 강조색5 3" xfId="274" xr:uid="{00000000-0005-0000-0000-000011010000}"/>
    <cellStyle name="20% - 강조색5 3 2" xfId="275" xr:uid="{00000000-0005-0000-0000-000012010000}"/>
    <cellStyle name="20% - 강조색5 4" xfId="276" xr:uid="{00000000-0005-0000-0000-000013010000}"/>
    <cellStyle name="20% - 강조색5 5" xfId="277" xr:uid="{00000000-0005-0000-0000-000014010000}"/>
    <cellStyle name="20% - 강조색5 5 2" xfId="278" xr:uid="{00000000-0005-0000-0000-000015010000}"/>
    <cellStyle name="20% - 강조색5 5 3" xfId="279" xr:uid="{00000000-0005-0000-0000-000016010000}"/>
    <cellStyle name="20% - 강조색5 6" xfId="280" xr:uid="{00000000-0005-0000-0000-000017010000}"/>
    <cellStyle name="20% - 강조색5 6 2" xfId="281" xr:uid="{00000000-0005-0000-0000-000018010000}"/>
    <cellStyle name="20% - 강조색5 7" xfId="282" xr:uid="{00000000-0005-0000-0000-000019010000}"/>
    <cellStyle name="20% - 강조색5 7 2" xfId="283" xr:uid="{00000000-0005-0000-0000-00001A010000}"/>
    <cellStyle name="20% - 강조색5 8" xfId="284" xr:uid="{00000000-0005-0000-0000-00001B010000}"/>
    <cellStyle name="20% - 강조색5 8 2" xfId="285" xr:uid="{00000000-0005-0000-0000-00001C010000}"/>
    <cellStyle name="20% - 강조색5 9" xfId="286" xr:uid="{00000000-0005-0000-0000-00001D010000}"/>
    <cellStyle name="20% - 강조색6" xfId="287" builtinId="50" customBuiltin="1"/>
    <cellStyle name="20% - 강조색6 10" xfId="288" xr:uid="{00000000-0005-0000-0000-00001F010000}"/>
    <cellStyle name="20% - 강조색6 11" xfId="289" xr:uid="{00000000-0005-0000-0000-000020010000}"/>
    <cellStyle name="20% - 강조색6 12" xfId="290" xr:uid="{00000000-0005-0000-0000-000021010000}"/>
    <cellStyle name="20% - 강조색6 13" xfId="291" xr:uid="{00000000-0005-0000-0000-000022010000}"/>
    <cellStyle name="20% - 강조색6 14" xfId="292" xr:uid="{00000000-0005-0000-0000-000023010000}"/>
    <cellStyle name="20% - 강조색6 15" xfId="293" xr:uid="{00000000-0005-0000-0000-000024010000}"/>
    <cellStyle name="20% - 강조색6 16" xfId="294" xr:uid="{00000000-0005-0000-0000-000025010000}"/>
    <cellStyle name="20% - 강조색6 17" xfId="295" xr:uid="{00000000-0005-0000-0000-000026010000}"/>
    <cellStyle name="20% - 강조색6 2" xfId="296" xr:uid="{00000000-0005-0000-0000-000027010000}"/>
    <cellStyle name="20% - 강조색6 2 2" xfId="297" xr:uid="{00000000-0005-0000-0000-000028010000}"/>
    <cellStyle name="20% - 강조색6 3" xfId="298" xr:uid="{00000000-0005-0000-0000-000029010000}"/>
    <cellStyle name="20% - 강조색6 3 2" xfId="299" xr:uid="{00000000-0005-0000-0000-00002A010000}"/>
    <cellStyle name="20% - 강조색6 4" xfId="300" xr:uid="{00000000-0005-0000-0000-00002B010000}"/>
    <cellStyle name="20% - 강조색6 5" xfId="301" xr:uid="{00000000-0005-0000-0000-00002C010000}"/>
    <cellStyle name="20% - 강조색6 5 2" xfId="302" xr:uid="{00000000-0005-0000-0000-00002D010000}"/>
    <cellStyle name="20% - 강조색6 5 3" xfId="303" xr:uid="{00000000-0005-0000-0000-00002E010000}"/>
    <cellStyle name="20% - 강조색6 6" xfId="304" xr:uid="{00000000-0005-0000-0000-00002F010000}"/>
    <cellStyle name="20% - 강조색6 6 2" xfId="305" xr:uid="{00000000-0005-0000-0000-000030010000}"/>
    <cellStyle name="20% - 강조색6 7" xfId="306" xr:uid="{00000000-0005-0000-0000-000031010000}"/>
    <cellStyle name="20% - 강조색6 7 2" xfId="307" xr:uid="{00000000-0005-0000-0000-000032010000}"/>
    <cellStyle name="20% - 강조색6 8" xfId="308" xr:uid="{00000000-0005-0000-0000-000033010000}"/>
    <cellStyle name="20% - 강조색6 8 2" xfId="309" xr:uid="{00000000-0005-0000-0000-000034010000}"/>
    <cellStyle name="20% - 강조색6 9" xfId="310" xr:uid="{00000000-0005-0000-0000-000035010000}"/>
    <cellStyle name="40% - Accent1" xfId="311" xr:uid="{00000000-0005-0000-0000-000036010000}"/>
    <cellStyle name="40% - Accent1 2" xfId="312" xr:uid="{00000000-0005-0000-0000-000037010000}"/>
    <cellStyle name="40% - Accent2" xfId="313" xr:uid="{00000000-0005-0000-0000-000038010000}"/>
    <cellStyle name="40% - Accent2 2" xfId="314" xr:uid="{00000000-0005-0000-0000-000039010000}"/>
    <cellStyle name="40% - Accent3" xfId="315" xr:uid="{00000000-0005-0000-0000-00003A010000}"/>
    <cellStyle name="40% - Accent3 2" xfId="316" xr:uid="{00000000-0005-0000-0000-00003B010000}"/>
    <cellStyle name="40% - Accent4" xfId="317" xr:uid="{00000000-0005-0000-0000-00003C010000}"/>
    <cellStyle name="40% - Accent4 2" xfId="318" xr:uid="{00000000-0005-0000-0000-00003D010000}"/>
    <cellStyle name="40% - Accent5" xfId="319" xr:uid="{00000000-0005-0000-0000-00003E010000}"/>
    <cellStyle name="40% - Accent5 2" xfId="320" xr:uid="{00000000-0005-0000-0000-00003F010000}"/>
    <cellStyle name="40% - Accent6" xfId="321" xr:uid="{00000000-0005-0000-0000-000040010000}"/>
    <cellStyle name="40% - Accent6 2" xfId="322" xr:uid="{00000000-0005-0000-0000-000041010000}"/>
    <cellStyle name="40% - 강조색1" xfId="323" builtinId="31" customBuiltin="1"/>
    <cellStyle name="40% - 강조색1 10" xfId="324" xr:uid="{00000000-0005-0000-0000-000043010000}"/>
    <cellStyle name="40% - 강조색1 11" xfId="325" xr:uid="{00000000-0005-0000-0000-000044010000}"/>
    <cellStyle name="40% - 강조색1 12" xfId="326" xr:uid="{00000000-0005-0000-0000-000045010000}"/>
    <cellStyle name="40% - 강조색1 13" xfId="327" xr:uid="{00000000-0005-0000-0000-000046010000}"/>
    <cellStyle name="40% - 강조색1 14" xfId="328" xr:uid="{00000000-0005-0000-0000-000047010000}"/>
    <cellStyle name="40% - 강조색1 15" xfId="329" xr:uid="{00000000-0005-0000-0000-000048010000}"/>
    <cellStyle name="40% - 강조색1 16" xfId="330" xr:uid="{00000000-0005-0000-0000-000049010000}"/>
    <cellStyle name="40% - 강조색1 17" xfId="331" xr:uid="{00000000-0005-0000-0000-00004A010000}"/>
    <cellStyle name="40% - 강조색1 2" xfId="332" xr:uid="{00000000-0005-0000-0000-00004B010000}"/>
    <cellStyle name="40% - 강조색1 2 2" xfId="333" xr:uid="{00000000-0005-0000-0000-00004C010000}"/>
    <cellStyle name="40% - 강조색1 3" xfId="334" xr:uid="{00000000-0005-0000-0000-00004D010000}"/>
    <cellStyle name="40% - 강조색1 3 2" xfId="335" xr:uid="{00000000-0005-0000-0000-00004E010000}"/>
    <cellStyle name="40% - 강조색1 4" xfId="336" xr:uid="{00000000-0005-0000-0000-00004F010000}"/>
    <cellStyle name="40% - 강조색1 5" xfId="337" xr:uid="{00000000-0005-0000-0000-000050010000}"/>
    <cellStyle name="40% - 강조색1 5 2" xfId="338" xr:uid="{00000000-0005-0000-0000-000051010000}"/>
    <cellStyle name="40% - 강조색1 5 3" xfId="339" xr:uid="{00000000-0005-0000-0000-000052010000}"/>
    <cellStyle name="40% - 강조색1 6" xfId="340" xr:uid="{00000000-0005-0000-0000-000053010000}"/>
    <cellStyle name="40% - 강조색1 6 2" xfId="341" xr:uid="{00000000-0005-0000-0000-000054010000}"/>
    <cellStyle name="40% - 강조색1 7" xfId="342" xr:uid="{00000000-0005-0000-0000-000055010000}"/>
    <cellStyle name="40% - 강조색1 7 2" xfId="343" xr:uid="{00000000-0005-0000-0000-000056010000}"/>
    <cellStyle name="40% - 강조색1 8" xfId="344" xr:uid="{00000000-0005-0000-0000-000057010000}"/>
    <cellStyle name="40% - 강조색1 8 2" xfId="345" xr:uid="{00000000-0005-0000-0000-000058010000}"/>
    <cellStyle name="40% - 강조색1 9" xfId="346" xr:uid="{00000000-0005-0000-0000-000059010000}"/>
    <cellStyle name="40% - 강조색2" xfId="347" builtinId="35" customBuiltin="1"/>
    <cellStyle name="40% - 강조색2 10" xfId="348" xr:uid="{00000000-0005-0000-0000-00005B010000}"/>
    <cellStyle name="40% - 강조색2 11" xfId="349" xr:uid="{00000000-0005-0000-0000-00005C010000}"/>
    <cellStyle name="40% - 강조색2 12" xfId="350" xr:uid="{00000000-0005-0000-0000-00005D010000}"/>
    <cellStyle name="40% - 강조색2 13" xfId="351" xr:uid="{00000000-0005-0000-0000-00005E010000}"/>
    <cellStyle name="40% - 강조색2 14" xfId="352" xr:uid="{00000000-0005-0000-0000-00005F010000}"/>
    <cellStyle name="40% - 강조색2 15" xfId="353" xr:uid="{00000000-0005-0000-0000-000060010000}"/>
    <cellStyle name="40% - 강조색2 16" xfId="354" xr:uid="{00000000-0005-0000-0000-000061010000}"/>
    <cellStyle name="40% - 강조색2 17" xfId="355" xr:uid="{00000000-0005-0000-0000-000062010000}"/>
    <cellStyle name="40% - 강조색2 2" xfId="356" xr:uid="{00000000-0005-0000-0000-000063010000}"/>
    <cellStyle name="40% - 강조색2 2 2" xfId="357" xr:uid="{00000000-0005-0000-0000-000064010000}"/>
    <cellStyle name="40% - 강조색2 3" xfId="358" xr:uid="{00000000-0005-0000-0000-000065010000}"/>
    <cellStyle name="40% - 강조색2 3 2" xfId="359" xr:uid="{00000000-0005-0000-0000-000066010000}"/>
    <cellStyle name="40% - 강조색2 4" xfId="360" xr:uid="{00000000-0005-0000-0000-000067010000}"/>
    <cellStyle name="40% - 강조색2 5" xfId="361" xr:uid="{00000000-0005-0000-0000-000068010000}"/>
    <cellStyle name="40% - 강조색2 5 2" xfId="362" xr:uid="{00000000-0005-0000-0000-000069010000}"/>
    <cellStyle name="40% - 강조색2 5 3" xfId="363" xr:uid="{00000000-0005-0000-0000-00006A010000}"/>
    <cellStyle name="40% - 강조색2 6" xfId="364" xr:uid="{00000000-0005-0000-0000-00006B010000}"/>
    <cellStyle name="40% - 강조색2 6 2" xfId="365" xr:uid="{00000000-0005-0000-0000-00006C010000}"/>
    <cellStyle name="40% - 강조색2 7" xfId="366" xr:uid="{00000000-0005-0000-0000-00006D010000}"/>
    <cellStyle name="40% - 강조색2 7 2" xfId="367" xr:uid="{00000000-0005-0000-0000-00006E010000}"/>
    <cellStyle name="40% - 강조색2 8" xfId="368" xr:uid="{00000000-0005-0000-0000-00006F010000}"/>
    <cellStyle name="40% - 강조색2 8 2" xfId="369" xr:uid="{00000000-0005-0000-0000-000070010000}"/>
    <cellStyle name="40% - 강조색2 9" xfId="370" xr:uid="{00000000-0005-0000-0000-000071010000}"/>
    <cellStyle name="40% - 강조색3 10" xfId="371" xr:uid="{00000000-0005-0000-0000-000072010000}"/>
    <cellStyle name="40% - 강조색3 11" xfId="372" xr:uid="{00000000-0005-0000-0000-000073010000}"/>
    <cellStyle name="40% - 강조색3 12" xfId="373" xr:uid="{00000000-0005-0000-0000-000074010000}"/>
    <cellStyle name="40% - 강조색3 13" xfId="374" xr:uid="{00000000-0005-0000-0000-000075010000}"/>
    <cellStyle name="40% - 강조색3 14" xfId="375" xr:uid="{00000000-0005-0000-0000-000076010000}"/>
    <cellStyle name="40% - 강조색3 15" xfId="376" xr:uid="{00000000-0005-0000-0000-000077010000}"/>
    <cellStyle name="40% - 강조색3 16" xfId="377" xr:uid="{00000000-0005-0000-0000-000078010000}"/>
    <cellStyle name="40% - 강조색3 17" xfId="378" xr:uid="{00000000-0005-0000-0000-000079010000}"/>
    <cellStyle name="40% - 강조색3 18" xfId="379" xr:uid="{00000000-0005-0000-0000-00007A010000}"/>
    <cellStyle name="40% - 강조색3 2" xfId="380" xr:uid="{00000000-0005-0000-0000-00007B010000}"/>
    <cellStyle name="40% - 강조색3 2 2" xfId="381" xr:uid="{00000000-0005-0000-0000-00007C010000}"/>
    <cellStyle name="40% - 강조색3 3" xfId="382" xr:uid="{00000000-0005-0000-0000-00007D010000}"/>
    <cellStyle name="40% - 강조색3 4" xfId="383" xr:uid="{00000000-0005-0000-0000-00007E010000}"/>
    <cellStyle name="40% - 강조색3 4 2" xfId="384" xr:uid="{00000000-0005-0000-0000-00007F010000}"/>
    <cellStyle name="40% - 강조색3 5" xfId="385" xr:uid="{00000000-0005-0000-0000-000080010000}"/>
    <cellStyle name="40% - 강조색3 6" xfId="386" xr:uid="{00000000-0005-0000-0000-000081010000}"/>
    <cellStyle name="40% - 강조색3 6 2" xfId="387" xr:uid="{00000000-0005-0000-0000-000082010000}"/>
    <cellStyle name="40% - 강조색3 6 3" xfId="388" xr:uid="{00000000-0005-0000-0000-000083010000}"/>
    <cellStyle name="40% - 강조색3 7" xfId="389" xr:uid="{00000000-0005-0000-0000-000084010000}"/>
    <cellStyle name="40% - 강조색3 7 2" xfId="390" xr:uid="{00000000-0005-0000-0000-000085010000}"/>
    <cellStyle name="40% - 강조색3 8" xfId="391" xr:uid="{00000000-0005-0000-0000-000086010000}"/>
    <cellStyle name="40% - 강조색3 8 2" xfId="392" xr:uid="{00000000-0005-0000-0000-000087010000}"/>
    <cellStyle name="40% - 강조색3 9" xfId="393" xr:uid="{00000000-0005-0000-0000-000088010000}"/>
    <cellStyle name="40% - 강조색3 9 2" xfId="394" xr:uid="{00000000-0005-0000-0000-000089010000}"/>
    <cellStyle name="40% - 강조색4" xfId="395" builtinId="43" customBuiltin="1"/>
    <cellStyle name="40% - 강조색4 10" xfId="396" xr:uid="{00000000-0005-0000-0000-00008B010000}"/>
    <cellStyle name="40% - 강조색4 11" xfId="397" xr:uid="{00000000-0005-0000-0000-00008C010000}"/>
    <cellStyle name="40% - 강조색4 12" xfId="398" xr:uid="{00000000-0005-0000-0000-00008D010000}"/>
    <cellStyle name="40% - 강조색4 13" xfId="399" xr:uid="{00000000-0005-0000-0000-00008E010000}"/>
    <cellStyle name="40% - 강조색4 14" xfId="400" xr:uid="{00000000-0005-0000-0000-00008F010000}"/>
    <cellStyle name="40% - 강조색4 15" xfId="401" xr:uid="{00000000-0005-0000-0000-000090010000}"/>
    <cellStyle name="40% - 강조색4 16" xfId="402" xr:uid="{00000000-0005-0000-0000-000091010000}"/>
    <cellStyle name="40% - 강조색4 17" xfId="403" xr:uid="{00000000-0005-0000-0000-000092010000}"/>
    <cellStyle name="40% - 강조색4 2" xfId="404" xr:uid="{00000000-0005-0000-0000-000093010000}"/>
    <cellStyle name="40% - 강조색4 2 2" xfId="405" xr:uid="{00000000-0005-0000-0000-000094010000}"/>
    <cellStyle name="40% - 강조색4 3" xfId="406" xr:uid="{00000000-0005-0000-0000-000095010000}"/>
    <cellStyle name="40% - 강조색4 3 2" xfId="407" xr:uid="{00000000-0005-0000-0000-000096010000}"/>
    <cellStyle name="40% - 강조색4 4" xfId="408" xr:uid="{00000000-0005-0000-0000-000097010000}"/>
    <cellStyle name="40% - 강조색4 5" xfId="409" xr:uid="{00000000-0005-0000-0000-000098010000}"/>
    <cellStyle name="40% - 강조색4 5 2" xfId="410" xr:uid="{00000000-0005-0000-0000-000099010000}"/>
    <cellStyle name="40% - 강조색4 5 3" xfId="411" xr:uid="{00000000-0005-0000-0000-00009A010000}"/>
    <cellStyle name="40% - 강조색4 6" xfId="412" xr:uid="{00000000-0005-0000-0000-00009B010000}"/>
    <cellStyle name="40% - 강조색4 6 2" xfId="413" xr:uid="{00000000-0005-0000-0000-00009C010000}"/>
    <cellStyle name="40% - 강조색4 7" xfId="414" xr:uid="{00000000-0005-0000-0000-00009D010000}"/>
    <cellStyle name="40% - 강조색4 7 2" xfId="415" xr:uid="{00000000-0005-0000-0000-00009E010000}"/>
    <cellStyle name="40% - 강조색4 8" xfId="416" xr:uid="{00000000-0005-0000-0000-00009F010000}"/>
    <cellStyle name="40% - 강조색4 8 2" xfId="417" xr:uid="{00000000-0005-0000-0000-0000A0010000}"/>
    <cellStyle name="40% - 강조색4 9" xfId="418" xr:uid="{00000000-0005-0000-0000-0000A1010000}"/>
    <cellStyle name="40% - 강조색5" xfId="419" builtinId="47" customBuiltin="1"/>
    <cellStyle name="40% - 강조색5 10" xfId="420" xr:uid="{00000000-0005-0000-0000-0000A3010000}"/>
    <cellStyle name="40% - 강조색5 11" xfId="421" xr:uid="{00000000-0005-0000-0000-0000A4010000}"/>
    <cellStyle name="40% - 강조색5 12" xfId="422" xr:uid="{00000000-0005-0000-0000-0000A5010000}"/>
    <cellStyle name="40% - 강조색5 13" xfId="423" xr:uid="{00000000-0005-0000-0000-0000A6010000}"/>
    <cellStyle name="40% - 강조색5 14" xfId="424" xr:uid="{00000000-0005-0000-0000-0000A7010000}"/>
    <cellStyle name="40% - 강조색5 15" xfId="425" xr:uid="{00000000-0005-0000-0000-0000A8010000}"/>
    <cellStyle name="40% - 강조색5 16" xfId="426" xr:uid="{00000000-0005-0000-0000-0000A9010000}"/>
    <cellStyle name="40% - 강조색5 17" xfId="427" xr:uid="{00000000-0005-0000-0000-0000AA010000}"/>
    <cellStyle name="40% - 강조색5 2" xfId="428" xr:uid="{00000000-0005-0000-0000-0000AB010000}"/>
    <cellStyle name="40% - 강조색5 2 2" xfId="429" xr:uid="{00000000-0005-0000-0000-0000AC010000}"/>
    <cellStyle name="40% - 강조색5 3" xfId="430" xr:uid="{00000000-0005-0000-0000-0000AD010000}"/>
    <cellStyle name="40% - 강조색5 3 2" xfId="431" xr:uid="{00000000-0005-0000-0000-0000AE010000}"/>
    <cellStyle name="40% - 강조색5 4" xfId="432" xr:uid="{00000000-0005-0000-0000-0000AF010000}"/>
    <cellStyle name="40% - 강조색5 5" xfId="433" xr:uid="{00000000-0005-0000-0000-0000B0010000}"/>
    <cellStyle name="40% - 강조색5 5 2" xfId="434" xr:uid="{00000000-0005-0000-0000-0000B1010000}"/>
    <cellStyle name="40% - 강조색5 5 3" xfId="435" xr:uid="{00000000-0005-0000-0000-0000B2010000}"/>
    <cellStyle name="40% - 강조색5 6" xfId="436" xr:uid="{00000000-0005-0000-0000-0000B3010000}"/>
    <cellStyle name="40% - 강조색5 6 2" xfId="437" xr:uid="{00000000-0005-0000-0000-0000B4010000}"/>
    <cellStyle name="40% - 강조색5 7" xfId="438" xr:uid="{00000000-0005-0000-0000-0000B5010000}"/>
    <cellStyle name="40% - 강조색5 7 2" xfId="439" xr:uid="{00000000-0005-0000-0000-0000B6010000}"/>
    <cellStyle name="40% - 강조색5 8" xfId="440" xr:uid="{00000000-0005-0000-0000-0000B7010000}"/>
    <cellStyle name="40% - 강조색5 8 2" xfId="441" xr:uid="{00000000-0005-0000-0000-0000B8010000}"/>
    <cellStyle name="40% - 강조색5 9" xfId="442" xr:uid="{00000000-0005-0000-0000-0000B9010000}"/>
    <cellStyle name="40% - 강조색6" xfId="443" builtinId="51" customBuiltin="1"/>
    <cellStyle name="40% - 강조색6 10" xfId="444" xr:uid="{00000000-0005-0000-0000-0000BB010000}"/>
    <cellStyle name="40% - 강조색6 11" xfId="445" xr:uid="{00000000-0005-0000-0000-0000BC010000}"/>
    <cellStyle name="40% - 강조색6 12" xfId="446" xr:uid="{00000000-0005-0000-0000-0000BD010000}"/>
    <cellStyle name="40% - 강조색6 13" xfId="447" xr:uid="{00000000-0005-0000-0000-0000BE010000}"/>
    <cellStyle name="40% - 강조색6 14" xfId="448" xr:uid="{00000000-0005-0000-0000-0000BF010000}"/>
    <cellStyle name="40% - 강조색6 15" xfId="449" xr:uid="{00000000-0005-0000-0000-0000C0010000}"/>
    <cellStyle name="40% - 강조색6 16" xfId="450" xr:uid="{00000000-0005-0000-0000-0000C1010000}"/>
    <cellStyle name="40% - 강조색6 17" xfId="451" xr:uid="{00000000-0005-0000-0000-0000C2010000}"/>
    <cellStyle name="40% - 강조색6 2" xfId="452" xr:uid="{00000000-0005-0000-0000-0000C3010000}"/>
    <cellStyle name="40% - 강조색6 2 2" xfId="453" xr:uid="{00000000-0005-0000-0000-0000C4010000}"/>
    <cellStyle name="40% - 강조색6 3" xfId="454" xr:uid="{00000000-0005-0000-0000-0000C5010000}"/>
    <cellStyle name="40% - 강조색6 3 2" xfId="455" xr:uid="{00000000-0005-0000-0000-0000C6010000}"/>
    <cellStyle name="40% - 강조색6 4" xfId="456" xr:uid="{00000000-0005-0000-0000-0000C7010000}"/>
    <cellStyle name="40% - 강조색6 5" xfId="457" xr:uid="{00000000-0005-0000-0000-0000C8010000}"/>
    <cellStyle name="40% - 강조색6 5 2" xfId="458" xr:uid="{00000000-0005-0000-0000-0000C9010000}"/>
    <cellStyle name="40% - 강조색6 5 3" xfId="459" xr:uid="{00000000-0005-0000-0000-0000CA010000}"/>
    <cellStyle name="40% - 강조색6 6" xfId="460" xr:uid="{00000000-0005-0000-0000-0000CB010000}"/>
    <cellStyle name="40% - 강조색6 6 2" xfId="461" xr:uid="{00000000-0005-0000-0000-0000CC010000}"/>
    <cellStyle name="40% - 강조색6 7" xfId="462" xr:uid="{00000000-0005-0000-0000-0000CD010000}"/>
    <cellStyle name="40% - 강조색6 7 2" xfId="463" xr:uid="{00000000-0005-0000-0000-0000CE010000}"/>
    <cellStyle name="40% - 강조색6 8" xfId="464" xr:uid="{00000000-0005-0000-0000-0000CF010000}"/>
    <cellStyle name="40% - 강조색6 8 2" xfId="465" xr:uid="{00000000-0005-0000-0000-0000D0010000}"/>
    <cellStyle name="40% - 강조색6 9" xfId="466" xr:uid="{00000000-0005-0000-0000-0000D1010000}"/>
    <cellStyle name="60% - Accent1" xfId="467" xr:uid="{00000000-0005-0000-0000-0000D2010000}"/>
    <cellStyle name="60% - Accent2" xfId="468" xr:uid="{00000000-0005-0000-0000-0000D3010000}"/>
    <cellStyle name="60% - Accent3" xfId="469" xr:uid="{00000000-0005-0000-0000-0000D4010000}"/>
    <cellStyle name="60% - Accent4" xfId="470" xr:uid="{00000000-0005-0000-0000-0000D5010000}"/>
    <cellStyle name="60% - Accent5" xfId="471" xr:uid="{00000000-0005-0000-0000-0000D6010000}"/>
    <cellStyle name="60% - Accent6" xfId="472" xr:uid="{00000000-0005-0000-0000-0000D7010000}"/>
    <cellStyle name="60% - 강조색1" xfId="473" builtinId="32" customBuiltin="1"/>
    <cellStyle name="60% - 강조색1 10" xfId="474" xr:uid="{00000000-0005-0000-0000-0000D9010000}"/>
    <cellStyle name="60% - 강조색1 11" xfId="475" xr:uid="{00000000-0005-0000-0000-0000DA010000}"/>
    <cellStyle name="60% - 강조색1 12" xfId="476" xr:uid="{00000000-0005-0000-0000-0000DB010000}"/>
    <cellStyle name="60% - 강조색1 13" xfId="477" xr:uid="{00000000-0005-0000-0000-0000DC010000}"/>
    <cellStyle name="60% - 강조색1 14" xfId="478" xr:uid="{00000000-0005-0000-0000-0000DD010000}"/>
    <cellStyle name="60% - 강조색1 15" xfId="479" xr:uid="{00000000-0005-0000-0000-0000DE010000}"/>
    <cellStyle name="60% - 강조색1 16" xfId="480" xr:uid="{00000000-0005-0000-0000-0000DF010000}"/>
    <cellStyle name="60% - 강조색1 17" xfId="481" xr:uid="{00000000-0005-0000-0000-0000E0010000}"/>
    <cellStyle name="60% - 강조색1 2" xfId="482" xr:uid="{00000000-0005-0000-0000-0000E1010000}"/>
    <cellStyle name="60% - 강조색1 2 2" xfId="483" xr:uid="{00000000-0005-0000-0000-0000E2010000}"/>
    <cellStyle name="60% - 강조색1 3" xfId="484" xr:uid="{00000000-0005-0000-0000-0000E3010000}"/>
    <cellStyle name="60% - 강조색1 3 2" xfId="485" xr:uid="{00000000-0005-0000-0000-0000E4010000}"/>
    <cellStyle name="60% - 강조색1 4" xfId="486" xr:uid="{00000000-0005-0000-0000-0000E5010000}"/>
    <cellStyle name="60% - 강조색1 5" xfId="487" xr:uid="{00000000-0005-0000-0000-0000E6010000}"/>
    <cellStyle name="60% - 강조색1 5 2" xfId="488" xr:uid="{00000000-0005-0000-0000-0000E7010000}"/>
    <cellStyle name="60% - 강조색1 5 3" xfId="489" xr:uid="{00000000-0005-0000-0000-0000E8010000}"/>
    <cellStyle name="60% - 강조색1 6" xfId="490" xr:uid="{00000000-0005-0000-0000-0000E9010000}"/>
    <cellStyle name="60% - 강조색1 6 2" xfId="491" xr:uid="{00000000-0005-0000-0000-0000EA010000}"/>
    <cellStyle name="60% - 강조색1 7" xfId="492" xr:uid="{00000000-0005-0000-0000-0000EB010000}"/>
    <cellStyle name="60% - 강조색1 7 2" xfId="493" xr:uid="{00000000-0005-0000-0000-0000EC010000}"/>
    <cellStyle name="60% - 강조색1 8" xfId="494" xr:uid="{00000000-0005-0000-0000-0000ED010000}"/>
    <cellStyle name="60% - 강조색1 8 2" xfId="495" xr:uid="{00000000-0005-0000-0000-0000EE010000}"/>
    <cellStyle name="60% - 강조색1 9" xfId="496" xr:uid="{00000000-0005-0000-0000-0000EF010000}"/>
    <cellStyle name="60% - 강조색2" xfId="497" builtinId="36" customBuiltin="1"/>
    <cellStyle name="60% - 강조색2 10" xfId="498" xr:uid="{00000000-0005-0000-0000-0000F1010000}"/>
    <cellStyle name="60% - 강조색2 11" xfId="499" xr:uid="{00000000-0005-0000-0000-0000F2010000}"/>
    <cellStyle name="60% - 강조색2 12" xfId="500" xr:uid="{00000000-0005-0000-0000-0000F3010000}"/>
    <cellStyle name="60% - 강조색2 13" xfId="501" xr:uid="{00000000-0005-0000-0000-0000F4010000}"/>
    <cellStyle name="60% - 강조색2 14" xfId="502" xr:uid="{00000000-0005-0000-0000-0000F5010000}"/>
    <cellStyle name="60% - 강조색2 15" xfId="503" xr:uid="{00000000-0005-0000-0000-0000F6010000}"/>
    <cellStyle name="60% - 강조색2 16" xfId="504" xr:uid="{00000000-0005-0000-0000-0000F7010000}"/>
    <cellStyle name="60% - 강조색2 17" xfId="505" xr:uid="{00000000-0005-0000-0000-0000F8010000}"/>
    <cellStyle name="60% - 강조색2 2" xfId="506" xr:uid="{00000000-0005-0000-0000-0000F9010000}"/>
    <cellStyle name="60% - 강조색2 2 2" xfId="507" xr:uid="{00000000-0005-0000-0000-0000FA010000}"/>
    <cellStyle name="60% - 강조색2 3" xfId="508" xr:uid="{00000000-0005-0000-0000-0000FB010000}"/>
    <cellStyle name="60% - 강조색2 3 2" xfId="509" xr:uid="{00000000-0005-0000-0000-0000FC010000}"/>
    <cellStyle name="60% - 강조색2 4" xfId="510" xr:uid="{00000000-0005-0000-0000-0000FD010000}"/>
    <cellStyle name="60% - 강조색2 5" xfId="511" xr:uid="{00000000-0005-0000-0000-0000FE010000}"/>
    <cellStyle name="60% - 강조색2 5 2" xfId="512" xr:uid="{00000000-0005-0000-0000-0000FF010000}"/>
    <cellStyle name="60% - 강조색2 5 3" xfId="513" xr:uid="{00000000-0005-0000-0000-000000020000}"/>
    <cellStyle name="60% - 강조색2 6" xfId="514" xr:uid="{00000000-0005-0000-0000-000001020000}"/>
    <cellStyle name="60% - 강조색2 6 2" xfId="515" xr:uid="{00000000-0005-0000-0000-000002020000}"/>
    <cellStyle name="60% - 강조색2 7" xfId="516" xr:uid="{00000000-0005-0000-0000-000003020000}"/>
    <cellStyle name="60% - 강조색2 7 2" xfId="517" xr:uid="{00000000-0005-0000-0000-000004020000}"/>
    <cellStyle name="60% - 강조색2 8" xfId="518" xr:uid="{00000000-0005-0000-0000-000005020000}"/>
    <cellStyle name="60% - 강조색2 8 2" xfId="519" xr:uid="{00000000-0005-0000-0000-000006020000}"/>
    <cellStyle name="60% - 강조색2 9" xfId="520" xr:uid="{00000000-0005-0000-0000-000007020000}"/>
    <cellStyle name="60% - 강조색3 10" xfId="521" xr:uid="{00000000-0005-0000-0000-000008020000}"/>
    <cellStyle name="60% - 강조색3 11" xfId="522" xr:uid="{00000000-0005-0000-0000-000009020000}"/>
    <cellStyle name="60% - 강조색3 12" xfId="523" xr:uid="{00000000-0005-0000-0000-00000A020000}"/>
    <cellStyle name="60% - 강조색3 13" xfId="524" xr:uid="{00000000-0005-0000-0000-00000B020000}"/>
    <cellStyle name="60% - 강조색3 14" xfId="525" xr:uid="{00000000-0005-0000-0000-00000C020000}"/>
    <cellStyle name="60% - 강조색3 15" xfId="526" xr:uid="{00000000-0005-0000-0000-00000D020000}"/>
    <cellStyle name="60% - 강조색3 16" xfId="527" xr:uid="{00000000-0005-0000-0000-00000E020000}"/>
    <cellStyle name="60% - 강조색3 17" xfId="528" xr:uid="{00000000-0005-0000-0000-00000F020000}"/>
    <cellStyle name="60% - 강조색3 18" xfId="529" xr:uid="{00000000-0005-0000-0000-000010020000}"/>
    <cellStyle name="60% - 강조색3 2" xfId="530" xr:uid="{00000000-0005-0000-0000-000011020000}"/>
    <cellStyle name="60% - 강조색3 2 2" xfId="531" xr:uid="{00000000-0005-0000-0000-000012020000}"/>
    <cellStyle name="60% - 강조색3 3" xfId="532" xr:uid="{00000000-0005-0000-0000-000013020000}"/>
    <cellStyle name="60% - 강조색3 4" xfId="533" xr:uid="{00000000-0005-0000-0000-000014020000}"/>
    <cellStyle name="60% - 강조색3 4 2" xfId="534" xr:uid="{00000000-0005-0000-0000-000015020000}"/>
    <cellStyle name="60% - 강조색3 5" xfId="535" xr:uid="{00000000-0005-0000-0000-000016020000}"/>
    <cellStyle name="60% - 강조색3 6" xfId="536" xr:uid="{00000000-0005-0000-0000-000017020000}"/>
    <cellStyle name="60% - 강조색3 6 2" xfId="537" xr:uid="{00000000-0005-0000-0000-000018020000}"/>
    <cellStyle name="60% - 강조색3 6 3" xfId="538" xr:uid="{00000000-0005-0000-0000-000019020000}"/>
    <cellStyle name="60% - 강조색3 7" xfId="539" xr:uid="{00000000-0005-0000-0000-00001A020000}"/>
    <cellStyle name="60% - 강조색3 7 2" xfId="540" xr:uid="{00000000-0005-0000-0000-00001B020000}"/>
    <cellStyle name="60% - 강조색3 8" xfId="541" xr:uid="{00000000-0005-0000-0000-00001C020000}"/>
    <cellStyle name="60% - 강조색3 8 2" xfId="542" xr:uid="{00000000-0005-0000-0000-00001D020000}"/>
    <cellStyle name="60% - 강조색3 9" xfId="543" xr:uid="{00000000-0005-0000-0000-00001E020000}"/>
    <cellStyle name="60% - 강조색3 9 2" xfId="544" xr:uid="{00000000-0005-0000-0000-00001F020000}"/>
    <cellStyle name="60% - 강조색4 10" xfId="545" xr:uid="{00000000-0005-0000-0000-000020020000}"/>
    <cellStyle name="60% - 강조색4 11" xfId="546" xr:uid="{00000000-0005-0000-0000-000021020000}"/>
    <cellStyle name="60% - 강조색4 12" xfId="547" xr:uid="{00000000-0005-0000-0000-000022020000}"/>
    <cellStyle name="60% - 강조색4 13" xfId="548" xr:uid="{00000000-0005-0000-0000-000023020000}"/>
    <cellStyle name="60% - 강조색4 14" xfId="549" xr:uid="{00000000-0005-0000-0000-000024020000}"/>
    <cellStyle name="60% - 강조색4 15" xfId="550" xr:uid="{00000000-0005-0000-0000-000025020000}"/>
    <cellStyle name="60% - 강조색4 16" xfId="551" xr:uid="{00000000-0005-0000-0000-000026020000}"/>
    <cellStyle name="60% - 강조색4 17" xfId="552" xr:uid="{00000000-0005-0000-0000-000027020000}"/>
    <cellStyle name="60% - 강조색4 18" xfId="553" xr:uid="{00000000-0005-0000-0000-000028020000}"/>
    <cellStyle name="60% - 강조색4 2" xfId="554" xr:uid="{00000000-0005-0000-0000-000029020000}"/>
    <cellStyle name="60% - 강조색4 2 2" xfId="555" xr:uid="{00000000-0005-0000-0000-00002A020000}"/>
    <cellStyle name="60% - 강조색4 3" xfId="556" xr:uid="{00000000-0005-0000-0000-00002B020000}"/>
    <cellStyle name="60% - 강조색4 4" xfId="557" xr:uid="{00000000-0005-0000-0000-00002C020000}"/>
    <cellStyle name="60% - 강조색4 4 2" xfId="558" xr:uid="{00000000-0005-0000-0000-00002D020000}"/>
    <cellStyle name="60% - 강조색4 5" xfId="559" xr:uid="{00000000-0005-0000-0000-00002E020000}"/>
    <cellStyle name="60% - 강조색4 6" xfId="560" xr:uid="{00000000-0005-0000-0000-00002F020000}"/>
    <cellStyle name="60% - 강조색4 6 2" xfId="561" xr:uid="{00000000-0005-0000-0000-000030020000}"/>
    <cellStyle name="60% - 강조색4 6 3" xfId="562" xr:uid="{00000000-0005-0000-0000-000031020000}"/>
    <cellStyle name="60% - 강조색4 7" xfId="563" xr:uid="{00000000-0005-0000-0000-000032020000}"/>
    <cellStyle name="60% - 강조색4 7 2" xfId="564" xr:uid="{00000000-0005-0000-0000-000033020000}"/>
    <cellStyle name="60% - 강조색4 8" xfId="565" xr:uid="{00000000-0005-0000-0000-000034020000}"/>
    <cellStyle name="60% - 강조색4 8 2" xfId="566" xr:uid="{00000000-0005-0000-0000-000035020000}"/>
    <cellStyle name="60% - 강조색4 9" xfId="567" xr:uid="{00000000-0005-0000-0000-000036020000}"/>
    <cellStyle name="60% - 강조색4 9 2" xfId="568" xr:uid="{00000000-0005-0000-0000-000037020000}"/>
    <cellStyle name="60% - 강조색5" xfId="569" builtinId="48" customBuiltin="1"/>
    <cellStyle name="60% - 강조색5 10" xfId="570" xr:uid="{00000000-0005-0000-0000-000039020000}"/>
    <cellStyle name="60% - 강조색5 11" xfId="571" xr:uid="{00000000-0005-0000-0000-00003A020000}"/>
    <cellStyle name="60% - 강조색5 12" xfId="572" xr:uid="{00000000-0005-0000-0000-00003B020000}"/>
    <cellStyle name="60% - 강조색5 13" xfId="573" xr:uid="{00000000-0005-0000-0000-00003C020000}"/>
    <cellStyle name="60% - 강조색5 14" xfId="574" xr:uid="{00000000-0005-0000-0000-00003D020000}"/>
    <cellStyle name="60% - 강조색5 15" xfId="575" xr:uid="{00000000-0005-0000-0000-00003E020000}"/>
    <cellStyle name="60% - 강조색5 16" xfId="576" xr:uid="{00000000-0005-0000-0000-00003F020000}"/>
    <cellStyle name="60% - 강조색5 17" xfId="577" xr:uid="{00000000-0005-0000-0000-000040020000}"/>
    <cellStyle name="60% - 강조색5 2" xfId="578" xr:uid="{00000000-0005-0000-0000-000041020000}"/>
    <cellStyle name="60% - 강조색5 2 2" xfId="579" xr:uid="{00000000-0005-0000-0000-000042020000}"/>
    <cellStyle name="60% - 강조색5 3" xfId="580" xr:uid="{00000000-0005-0000-0000-000043020000}"/>
    <cellStyle name="60% - 강조색5 3 2" xfId="581" xr:uid="{00000000-0005-0000-0000-000044020000}"/>
    <cellStyle name="60% - 강조색5 4" xfId="582" xr:uid="{00000000-0005-0000-0000-000045020000}"/>
    <cellStyle name="60% - 강조색5 5" xfId="583" xr:uid="{00000000-0005-0000-0000-000046020000}"/>
    <cellStyle name="60% - 강조색5 5 2" xfId="584" xr:uid="{00000000-0005-0000-0000-000047020000}"/>
    <cellStyle name="60% - 강조색5 5 3" xfId="585" xr:uid="{00000000-0005-0000-0000-000048020000}"/>
    <cellStyle name="60% - 강조색5 6" xfId="586" xr:uid="{00000000-0005-0000-0000-000049020000}"/>
    <cellStyle name="60% - 강조색5 6 2" xfId="587" xr:uid="{00000000-0005-0000-0000-00004A020000}"/>
    <cellStyle name="60% - 강조색5 7" xfId="588" xr:uid="{00000000-0005-0000-0000-00004B020000}"/>
    <cellStyle name="60% - 강조색5 7 2" xfId="589" xr:uid="{00000000-0005-0000-0000-00004C020000}"/>
    <cellStyle name="60% - 강조색5 8" xfId="590" xr:uid="{00000000-0005-0000-0000-00004D020000}"/>
    <cellStyle name="60% - 강조색5 8 2" xfId="591" xr:uid="{00000000-0005-0000-0000-00004E020000}"/>
    <cellStyle name="60% - 강조색5 9" xfId="592" xr:uid="{00000000-0005-0000-0000-00004F020000}"/>
    <cellStyle name="60% - 강조색6 10" xfId="593" xr:uid="{00000000-0005-0000-0000-000050020000}"/>
    <cellStyle name="60% - 강조색6 11" xfId="594" xr:uid="{00000000-0005-0000-0000-000051020000}"/>
    <cellStyle name="60% - 강조색6 12" xfId="595" xr:uid="{00000000-0005-0000-0000-000052020000}"/>
    <cellStyle name="60% - 강조색6 13" xfId="596" xr:uid="{00000000-0005-0000-0000-000053020000}"/>
    <cellStyle name="60% - 강조색6 14" xfId="597" xr:uid="{00000000-0005-0000-0000-000054020000}"/>
    <cellStyle name="60% - 강조색6 15" xfId="598" xr:uid="{00000000-0005-0000-0000-000055020000}"/>
    <cellStyle name="60% - 강조색6 16" xfId="599" xr:uid="{00000000-0005-0000-0000-000056020000}"/>
    <cellStyle name="60% - 강조색6 17" xfId="600" xr:uid="{00000000-0005-0000-0000-000057020000}"/>
    <cellStyle name="60% - 강조색6 18" xfId="601" xr:uid="{00000000-0005-0000-0000-000058020000}"/>
    <cellStyle name="60% - 강조색6 2" xfId="602" xr:uid="{00000000-0005-0000-0000-000059020000}"/>
    <cellStyle name="60% - 강조색6 2 2" xfId="603" xr:uid="{00000000-0005-0000-0000-00005A020000}"/>
    <cellStyle name="60% - 강조색6 3" xfId="604" xr:uid="{00000000-0005-0000-0000-00005B020000}"/>
    <cellStyle name="60% - 강조색6 4" xfId="605" xr:uid="{00000000-0005-0000-0000-00005C020000}"/>
    <cellStyle name="60% - 강조색6 4 2" xfId="606" xr:uid="{00000000-0005-0000-0000-00005D020000}"/>
    <cellStyle name="60% - 강조색6 5" xfId="607" xr:uid="{00000000-0005-0000-0000-00005E020000}"/>
    <cellStyle name="60% - 강조색6 6" xfId="608" xr:uid="{00000000-0005-0000-0000-00005F020000}"/>
    <cellStyle name="60% - 강조색6 6 2" xfId="609" xr:uid="{00000000-0005-0000-0000-000060020000}"/>
    <cellStyle name="60% - 강조색6 6 3" xfId="610" xr:uid="{00000000-0005-0000-0000-000061020000}"/>
    <cellStyle name="60% - 강조색6 7" xfId="611" xr:uid="{00000000-0005-0000-0000-000062020000}"/>
    <cellStyle name="60% - 강조색6 7 2" xfId="612" xr:uid="{00000000-0005-0000-0000-000063020000}"/>
    <cellStyle name="60% - 강조색6 8" xfId="613" xr:uid="{00000000-0005-0000-0000-000064020000}"/>
    <cellStyle name="60% - 강조색6 8 2" xfId="614" xr:uid="{00000000-0005-0000-0000-000065020000}"/>
    <cellStyle name="60% - 강조색6 9" xfId="615" xr:uid="{00000000-0005-0000-0000-000066020000}"/>
    <cellStyle name="60% - 강조색6 9 2" xfId="616" xr:uid="{00000000-0005-0000-0000-000067020000}"/>
    <cellStyle name="Ⅰ" xfId="617" xr:uid="{00000000-0005-0000-0000-000068020000}"/>
    <cellStyle name="Ⅰ_신용위험및중기대부문 조사표(081109)_펀드담보대출" xfId="618" xr:uid="{00000000-0005-0000-0000-000069020000}"/>
    <cellStyle name="Ⅰ_신한_0902" xfId="619" xr:uid="{00000000-0005-0000-0000-00006A020000}"/>
    <cellStyle name="A¨­￠￢￠O [0]_C¡IAo_AoAUAy¡ÆeC¡I" xfId="620" xr:uid="{00000000-0005-0000-0000-00006B020000}"/>
    <cellStyle name="A¨­￠￢￠O_AoAUAy¡ÆeC¡I " xfId="621" xr:uid="{00000000-0005-0000-0000-00006C020000}"/>
    <cellStyle name="Accent1" xfId="622" xr:uid="{00000000-0005-0000-0000-00006D020000}"/>
    <cellStyle name="Accent2" xfId="623" xr:uid="{00000000-0005-0000-0000-00006E020000}"/>
    <cellStyle name="Accent3" xfId="624" xr:uid="{00000000-0005-0000-0000-00006F020000}"/>
    <cellStyle name="Accent4" xfId="625" xr:uid="{00000000-0005-0000-0000-000070020000}"/>
    <cellStyle name="Accent5" xfId="626" xr:uid="{00000000-0005-0000-0000-000071020000}"/>
    <cellStyle name="Accent6" xfId="627" xr:uid="{00000000-0005-0000-0000-000072020000}"/>
    <cellStyle name="Åëè­" xfId="628" xr:uid="{00000000-0005-0000-0000-000073020000}"/>
    <cellStyle name="Åëè­ [0]" xfId="629" xr:uid="{00000000-0005-0000-0000-000074020000}"/>
    <cellStyle name="AeE­ [0]_´e¼OAæ´c±Y" xfId="630" xr:uid="{00000000-0005-0000-0000-000075020000}"/>
    <cellStyle name="ÅëÈ­ [0]_¸ÅÃâ" xfId="631" xr:uid="{00000000-0005-0000-0000-000076020000}"/>
    <cellStyle name="AeE­ [0]_±aA¸" xfId="632" xr:uid="{00000000-0005-0000-0000-000077020000}"/>
    <cellStyle name="ÅëÈ­ [0]_½ÂÀÎ¾÷Ã¼" xfId="633" xr:uid="{00000000-0005-0000-0000-000078020000}"/>
    <cellStyle name="AeE­ [0]_97MBO" xfId="634" xr:uid="{00000000-0005-0000-0000-000079020000}"/>
    <cellStyle name="ÅëÈ­ [0]_97MBO" xfId="635" xr:uid="{00000000-0005-0000-0000-00007A020000}"/>
    <cellStyle name="AeE­ [0]_97MBO (2)" xfId="636" xr:uid="{00000000-0005-0000-0000-00007B020000}"/>
    <cellStyle name="ÅëÈ­ [0]_97MBO (2)" xfId="637" xr:uid="{00000000-0005-0000-0000-00007C020000}"/>
    <cellStyle name="AeE­ [0]_Ao±C Project" xfId="638" xr:uid="{00000000-0005-0000-0000-00007D020000}"/>
    <cellStyle name="ÅëÈ­ [0]_Áõ±Ç Project" xfId="639" xr:uid="{00000000-0005-0000-0000-00007E020000}"/>
    <cellStyle name="AeE­ [0]_COºI project" xfId="640" xr:uid="{00000000-0005-0000-0000-00007F020000}"/>
    <cellStyle name="ÅëÈ­ [0]_ÇÒºÎ project" xfId="641" xr:uid="{00000000-0005-0000-0000-000080020000}"/>
    <cellStyle name="AeE­ [0]_INQUIRY ¿μ¾÷AßAø " xfId="642" xr:uid="{00000000-0005-0000-0000-000081020000}"/>
    <cellStyle name="ÅëÈ­ [0]_laroux" xfId="643" xr:uid="{00000000-0005-0000-0000-000082020000}"/>
    <cellStyle name="AeE­ [0]_laroux_1" xfId="644" xr:uid="{00000000-0005-0000-0000-000083020000}"/>
    <cellStyle name="ÅëÈ­ [0]_laroux_1" xfId="645" xr:uid="{00000000-0005-0000-0000-000084020000}"/>
    <cellStyle name="AeE­ [0]_laroux_2" xfId="646" xr:uid="{00000000-0005-0000-0000-000085020000}"/>
    <cellStyle name="ÅëÈ­ [0]_laroux_2" xfId="647" xr:uid="{00000000-0005-0000-0000-000086020000}"/>
    <cellStyle name="AeE­ [0]_laroux_3" xfId="648" xr:uid="{00000000-0005-0000-0000-000087020000}"/>
    <cellStyle name="ÅëÈ­ [0]_laroux_3" xfId="649" xr:uid="{00000000-0005-0000-0000-000088020000}"/>
    <cellStyle name="AeE­ [0]_laroux_4" xfId="650" xr:uid="{00000000-0005-0000-0000-000089020000}"/>
    <cellStyle name="ÅëÈ­ [0]_laroux_4" xfId="651" xr:uid="{00000000-0005-0000-0000-00008A020000}"/>
    <cellStyle name="AeE­ [0]_laroux_5" xfId="652" xr:uid="{00000000-0005-0000-0000-00008B020000}"/>
    <cellStyle name="ÅëÈ­ [0]_laroux_5" xfId="653" xr:uid="{00000000-0005-0000-0000-00008C020000}"/>
    <cellStyle name="AeE­ [0]_MBO_0" xfId="654" xr:uid="{00000000-0005-0000-0000-00008D020000}"/>
    <cellStyle name="ÅëÈ­ [0]_MBO_0" xfId="655" xr:uid="{00000000-0005-0000-0000-00008E020000}"/>
    <cellStyle name="AeE­ [0]_MBO96_1" xfId="656" xr:uid="{00000000-0005-0000-0000-00008F020000}"/>
    <cellStyle name="ÅëÈ­ [0]_MBO96_1" xfId="657" xr:uid="{00000000-0005-0000-0000-000090020000}"/>
    <cellStyle name="AeE­ [0]_PERSONAL" xfId="658" xr:uid="{00000000-0005-0000-0000-000091020000}"/>
    <cellStyle name="Åëè­_(부속자료)자산건전성분류현황보고(09Y 7M)" xfId="659" xr:uid="{00000000-0005-0000-0000-000092020000}"/>
    <cellStyle name="AeE­_´e¼OAæ´c±Y" xfId="660" xr:uid="{00000000-0005-0000-0000-000093020000}"/>
    <cellStyle name="Åëè­_¸åãâ" xfId="661" xr:uid="{00000000-0005-0000-0000-000094020000}"/>
    <cellStyle name="AeE­_±aA¸" xfId="662" xr:uid="{00000000-0005-0000-0000-000095020000}"/>
    <cellStyle name="ÅëÈ­_½ÂÀÎ¾÷Ã¼" xfId="663" xr:uid="{00000000-0005-0000-0000-000096020000}"/>
    <cellStyle name="AeE­_97MBO" xfId="664" xr:uid="{00000000-0005-0000-0000-000097020000}"/>
    <cellStyle name="ÅëÈ­_97MBO" xfId="665" xr:uid="{00000000-0005-0000-0000-000098020000}"/>
    <cellStyle name="AeE­_97MBO (2)" xfId="666" xr:uid="{00000000-0005-0000-0000-000099020000}"/>
    <cellStyle name="ÅëÈ­_97MBO (2)" xfId="667" xr:uid="{00000000-0005-0000-0000-00009A020000}"/>
    <cellStyle name="AeE­_A|Aa¿e" xfId="668" xr:uid="{00000000-0005-0000-0000-00009B020000}"/>
    <cellStyle name="ÅëÈ­_Á¦Ãâ¿ë" xfId="669" xr:uid="{00000000-0005-0000-0000-00009C020000}"/>
    <cellStyle name="AeE­_Ao±C Project" xfId="670" xr:uid="{00000000-0005-0000-0000-00009D020000}"/>
    <cellStyle name="ÅëÈ­_Áõ±Ç Project" xfId="671" xr:uid="{00000000-0005-0000-0000-00009E020000}"/>
    <cellStyle name="AeE­_COºI project" xfId="672" xr:uid="{00000000-0005-0000-0000-00009F020000}"/>
    <cellStyle name="ÅëÈ­_ÇÒºÎ project" xfId="673" xr:uid="{00000000-0005-0000-0000-0000A0020000}"/>
    <cellStyle name="AeE­_INQUIRY ¿μ¾÷AßAø " xfId="674" xr:uid="{00000000-0005-0000-0000-0000A1020000}"/>
    <cellStyle name="ÅëÈ­_laroux" xfId="675" xr:uid="{00000000-0005-0000-0000-0000A2020000}"/>
    <cellStyle name="AeE­_laroux_1" xfId="676" xr:uid="{00000000-0005-0000-0000-0000A3020000}"/>
    <cellStyle name="ÅëÈ­_laroux_1" xfId="677" xr:uid="{00000000-0005-0000-0000-0000A4020000}"/>
    <cellStyle name="AeE­_laroux_2" xfId="678" xr:uid="{00000000-0005-0000-0000-0000A5020000}"/>
    <cellStyle name="ÅëÈ­_laroux_2" xfId="679" xr:uid="{00000000-0005-0000-0000-0000A6020000}"/>
    <cellStyle name="AeE­_laroux_3" xfId="680" xr:uid="{00000000-0005-0000-0000-0000A7020000}"/>
    <cellStyle name="ÅëÈ­_laroux_3" xfId="681" xr:uid="{00000000-0005-0000-0000-0000A8020000}"/>
    <cellStyle name="AeE­_laroux_4" xfId="682" xr:uid="{00000000-0005-0000-0000-0000A9020000}"/>
    <cellStyle name="ÅëÈ­_laroux_4" xfId="683" xr:uid="{00000000-0005-0000-0000-0000AA020000}"/>
    <cellStyle name="AeE­_laroux_5" xfId="684" xr:uid="{00000000-0005-0000-0000-0000AB020000}"/>
    <cellStyle name="ÅëÈ­_laroux_5" xfId="685" xr:uid="{00000000-0005-0000-0000-0000AC020000}"/>
    <cellStyle name="AeE­_MBO_0" xfId="686" xr:uid="{00000000-0005-0000-0000-0000AD020000}"/>
    <cellStyle name="ÅëÈ­_MBO_0" xfId="687" xr:uid="{00000000-0005-0000-0000-0000AE020000}"/>
    <cellStyle name="AeE­_MBO96_1" xfId="688" xr:uid="{00000000-0005-0000-0000-0000AF020000}"/>
    <cellStyle name="ÅëÈ­_MBO96_1" xfId="689" xr:uid="{00000000-0005-0000-0000-0000B0020000}"/>
    <cellStyle name="ALIGNMENT" xfId="690" xr:uid="{00000000-0005-0000-0000-0000B1020000}"/>
    <cellStyle name="Arial 10" xfId="691" xr:uid="{00000000-0005-0000-0000-0000B2020000}"/>
    <cellStyle name="Arial 12" xfId="692" xr:uid="{00000000-0005-0000-0000-0000B3020000}"/>
    <cellStyle name="Äþ¸¶" xfId="693" xr:uid="{00000000-0005-0000-0000-0000B4020000}"/>
    <cellStyle name="Äþ¸¶ [0]" xfId="694" xr:uid="{00000000-0005-0000-0000-0000B5020000}"/>
    <cellStyle name="AÞ¸¶ [0]_´eºnC￥" xfId="695" xr:uid="{00000000-0005-0000-0000-0000B6020000}"/>
    <cellStyle name="ÄÞ¸¶ [0]_¸ÅÃâ°ü·Ã¾ç½Ä" xfId="696" xr:uid="{00000000-0005-0000-0000-0000B7020000}"/>
    <cellStyle name="AÞ¸¶ [0]_±aA¸" xfId="697" xr:uid="{00000000-0005-0000-0000-0000B8020000}"/>
    <cellStyle name="Äþ¸¶ [0]_2009_07_EBCFCE33417DB3FF492575E60021EC0C_12465228190770" xfId="698" xr:uid="{00000000-0005-0000-0000-0000B9020000}"/>
    <cellStyle name="AÞ¸¶ [0]_97MBO (2)" xfId="699" xr:uid="{00000000-0005-0000-0000-0000BA020000}"/>
    <cellStyle name="ÄÞ¸¶ [0]_97MBO (2)" xfId="700" xr:uid="{00000000-0005-0000-0000-0000BB020000}"/>
    <cellStyle name="AÞ¸¶ [0]_Ao±C Project" xfId="701" xr:uid="{00000000-0005-0000-0000-0000BC020000}"/>
    <cellStyle name="ÄÞ¸¶ [0]_Áõ±Ç Project" xfId="702" xr:uid="{00000000-0005-0000-0000-0000BD020000}"/>
    <cellStyle name="AÞ¸¶ [0]_COºI project" xfId="703" xr:uid="{00000000-0005-0000-0000-0000BE020000}"/>
    <cellStyle name="ÄÞ¸¶ [0]_ÇÒºÎ project" xfId="704" xr:uid="{00000000-0005-0000-0000-0000BF020000}"/>
    <cellStyle name="AÞ¸¶ [0]_INQUIRY ¿μ¾÷AßAø " xfId="705" xr:uid="{00000000-0005-0000-0000-0000C0020000}"/>
    <cellStyle name="ÄÞ¸¶ [0]_laroux" xfId="706" xr:uid="{00000000-0005-0000-0000-0000C1020000}"/>
    <cellStyle name="AÞ¸¶ [0]_laroux_1" xfId="707" xr:uid="{00000000-0005-0000-0000-0000C2020000}"/>
    <cellStyle name="ÄÞ¸¶ [0]_laroux_1" xfId="708" xr:uid="{00000000-0005-0000-0000-0000C3020000}"/>
    <cellStyle name="AÞ¸¶ [0]_laroux_2" xfId="709" xr:uid="{00000000-0005-0000-0000-0000C4020000}"/>
    <cellStyle name="ÄÞ¸¶ [0]_laroux_2" xfId="710" xr:uid="{00000000-0005-0000-0000-0000C5020000}"/>
    <cellStyle name="AÞ¸¶ [0]_laroux_3" xfId="711" xr:uid="{00000000-0005-0000-0000-0000C6020000}"/>
    <cellStyle name="ÄÞ¸¶ [0]_laroux_3" xfId="712" xr:uid="{00000000-0005-0000-0000-0000C7020000}"/>
    <cellStyle name="AÞ¸¶ [0]_laroux_3 2" xfId="713" xr:uid="{00000000-0005-0000-0000-0000C8020000}"/>
    <cellStyle name="ÄÞ¸¶ [0]_laroux_3 2" xfId="714" xr:uid="{00000000-0005-0000-0000-0000C9020000}"/>
    <cellStyle name="AÞ¸¶ [0]_laroux_3 3" xfId="715" xr:uid="{00000000-0005-0000-0000-0000CA020000}"/>
    <cellStyle name="ÄÞ¸¶ [0]_laroux_3 3" xfId="716" xr:uid="{00000000-0005-0000-0000-0000CB020000}"/>
    <cellStyle name="AÞ¸¶ [0]_laroux_3 4" xfId="717" xr:uid="{00000000-0005-0000-0000-0000CC020000}"/>
    <cellStyle name="ÄÞ¸¶ [0]_laroux_3 4" xfId="718" xr:uid="{00000000-0005-0000-0000-0000CD020000}"/>
    <cellStyle name="AÞ¸¶ [0]_MBO_0" xfId="719" xr:uid="{00000000-0005-0000-0000-0000CE020000}"/>
    <cellStyle name="ÄÞ¸¶ [0]_MBO_0" xfId="720" xr:uid="{00000000-0005-0000-0000-0000CF020000}"/>
    <cellStyle name="AÞ¸¶ [0]_MBO96_1" xfId="721" xr:uid="{00000000-0005-0000-0000-0000D0020000}"/>
    <cellStyle name="ÄÞ¸¶ [0]_MBO96_1" xfId="722" xr:uid="{00000000-0005-0000-0000-0000D1020000}"/>
    <cellStyle name="Äþ¸¶_(부속자료)자산건전성분류현황보고(09Y 7M)" xfId="723" xr:uid="{00000000-0005-0000-0000-0000D2020000}"/>
    <cellStyle name="AÞ¸¶_´eºnC￥" xfId="724" xr:uid="{00000000-0005-0000-0000-0000D3020000}"/>
    <cellStyle name="Äþ¸¶_¸åãâ" xfId="725" xr:uid="{00000000-0005-0000-0000-0000D4020000}"/>
    <cellStyle name="AÞ¸¶_±aA¸" xfId="726" xr:uid="{00000000-0005-0000-0000-0000D5020000}"/>
    <cellStyle name="ÄÞ¸¶_½ÂÀÎ¾÷Ã¼" xfId="727" xr:uid="{00000000-0005-0000-0000-0000D6020000}"/>
    <cellStyle name="AÞ¸¶_¾ÆA§AU¾÷" xfId="728" xr:uid="{00000000-0005-0000-0000-0000D7020000}"/>
    <cellStyle name="Äþ¸¶_2009_07_EBCFCE33417DB3FF492575E60021EC0C_12465228190770" xfId="729" xr:uid="{00000000-0005-0000-0000-0000D8020000}"/>
    <cellStyle name="AÞ¸¶_97MBO" xfId="730" xr:uid="{00000000-0005-0000-0000-0000D9020000}"/>
    <cellStyle name="ÄÞ¸¶_97MBO" xfId="731" xr:uid="{00000000-0005-0000-0000-0000DA020000}"/>
    <cellStyle name="AÞ¸¶_97MBO (2)" xfId="732" xr:uid="{00000000-0005-0000-0000-0000DB020000}"/>
    <cellStyle name="ÄÞ¸¶_97MBO (2)" xfId="733" xr:uid="{00000000-0005-0000-0000-0000DC020000}"/>
    <cellStyle name="AÞ¸¶_A|Aa¿e" xfId="734" xr:uid="{00000000-0005-0000-0000-0000DD020000}"/>
    <cellStyle name="ÄÞ¸¶_Á¦Ãâ¿ë" xfId="735" xr:uid="{00000000-0005-0000-0000-0000DE020000}"/>
    <cellStyle name="AÞ¸¶_Ao±C Project" xfId="736" xr:uid="{00000000-0005-0000-0000-0000DF020000}"/>
    <cellStyle name="ÄÞ¸¶_Áõ±Ç Project" xfId="737" xr:uid="{00000000-0005-0000-0000-0000E0020000}"/>
    <cellStyle name="AÞ¸¶_COºI project" xfId="738" xr:uid="{00000000-0005-0000-0000-0000E1020000}"/>
    <cellStyle name="ÄÞ¸¶_ÇÒºÎ project" xfId="739" xr:uid="{00000000-0005-0000-0000-0000E2020000}"/>
    <cellStyle name="AÞ¸¶_INQUIRY ¿μ¾÷AßAø " xfId="740" xr:uid="{00000000-0005-0000-0000-0000E3020000}"/>
    <cellStyle name="ÄÞ¸¶_laroux" xfId="741" xr:uid="{00000000-0005-0000-0000-0000E4020000}"/>
    <cellStyle name="AÞ¸¶_laroux_1" xfId="742" xr:uid="{00000000-0005-0000-0000-0000E5020000}"/>
    <cellStyle name="ÄÞ¸¶_laroux_1" xfId="743" xr:uid="{00000000-0005-0000-0000-0000E6020000}"/>
    <cellStyle name="AÞ¸¶_laroux_2" xfId="744" xr:uid="{00000000-0005-0000-0000-0000E7020000}"/>
    <cellStyle name="ÄÞ¸¶_laroux_2" xfId="745" xr:uid="{00000000-0005-0000-0000-0000E8020000}"/>
    <cellStyle name="AÞ¸¶_laroux_3" xfId="746" xr:uid="{00000000-0005-0000-0000-0000E9020000}"/>
    <cellStyle name="ÄÞ¸¶_laroux_3" xfId="747" xr:uid="{00000000-0005-0000-0000-0000EA020000}"/>
    <cellStyle name="AÞ¸¶_laroux_3 2" xfId="748" xr:uid="{00000000-0005-0000-0000-0000EB020000}"/>
    <cellStyle name="ÄÞ¸¶_laroux_3 2" xfId="749" xr:uid="{00000000-0005-0000-0000-0000EC020000}"/>
    <cellStyle name="AÞ¸¶_laroux_3 3" xfId="750" xr:uid="{00000000-0005-0000-0000-0000ED020000}"/>
    <cellStyle name="ÄÞ¸¶_laroux_3 3" xfId="751" xr:uid="{00000000-0005-0000-0000-0000EE020000}"/>
    <cellStyle name="AÞ¸¶_laroux_3 4" xfId="752" xr:uid="{00000000-0005-0000-0000-0000EF020000}"/>
    <cellStyle name="ÄÞ¸¶_laroux_3 4" xfId="753" xr:uid="{00000000-0005-0000-0000-0000F0020000}"/>
    <cellStyle name="AÞ¸¶_laroux_4" xfId="754" xr:uid="{00000000-0005-0000-0000-0000F1020000}"/>
    <cellStyle name="ÄÞ¸¶_laroux_4" xfId="755" xr:uid="{00000000-0005-0000-0000-0000F2020000}"/>
    <cellStyle name="AÞ¸¶_MBO_0" xfId="756" xr:uid="{00000000-0005-0000-0000-0000F3020000}"/>
    <cellStyle name="ÄÞ¸¶_MBO_0" xfId="757" xr:uid="{00000000-0005-0000-0000-0000F4020000}"/>
    <cellStyle name="AÞ¸¶_MBO96_1" xfId="758" xr:uid="{00000000-0005-0000-0000-0000F5020000}"/>
    <cellStyle name="ÄÞ¸¶_MBO96_1" xfId="759" xr:uid="{00000000-0005-0000-0000-0000F6020000}"/>
    <cellStyle name="_x0001_b" xfId="760" xr:uid="{00000000-0005-0000-0000-0000F7020000}"/>
    <cellStyle name="Bad" xfId="761" xr:uid="{00000000-0005-0000-0000-0000F8020000}"/>
    <cellStyle name="blue$00" xfId="762" xr:uid="{00000000-0005-0000-0000-0000F9020000}"/>
    <cellStyle name="Body_$Dollars" xfId="763" xr:uid="{00000000-0005-0000-0000-0000FA020000}"/>
    <cellStyle name="British Pound" xfId="764" xr:uid="{00000000-0005-0000-0000-0000FB020000}"/>
    <cellStyle name="C¡?A¨ª_¡¾????Ubal" xfId="765" xr:uid="{00000000-0005-0000-0000-0000FC020000}"/>
    <cellStyle name="C¡ÍA¨ª_¡¾©ö¢¯Ubal" xfId="766" xr:uid="{00000000-0005-0000-0000-0000FD020000}"/>
    <cellStyle name="Ç¥áø" xfId="767" xr:uid="{00000000-0005-0000-0000-0000FE020000}"/>
    <cellStyle name="C￥AØ_´e¼OAæ´c±Y" xfId="768" xr:uid="{00000000-0005-0000-0000-0000FF020000}"/>
    <cellStyle name="Ç¥ÁØ_´ëºñÇ¥ (2)_1_ºÎ´ëÅä°ø " xfId="769" xr:uid="{00000000-0005-0000-0000-000000030000}"/>
    <cellStyle name="C￥AØ_´eºnC￥ (2)_ºI´eAa°ø " xfId="770" xr:uid="{00000000-0005-0000-0000-000001030000}"/>
    <cellStyle name="Ç¥ÁØ_´ëºñÇ¥ (2)_ºÎ´ëÅä°ø " xfId="771" xr:uid="{00000000-0005-0000-0000-000002030000}"/>
    <cellStyle name="C￥AØ_¸AAa.¼OAI " xfId="772" xr:uid="{00000000-0005-0000-0000-000003030000}"/>
    <cellStyle name="Ç¥ÁØ_¿µ¾÷ÇöÈ² " xfId="773" xr:uid="{00000000-0005-0000-0000-000004030000}"/>
    <cellStyle name="C￥AØ_¿u°￡¿a¾aº¸°i" xfId="774" xr:uid="{00000000-0005-0000-0000-000005030000}"/>
    <cellStyle name="Ç¥ÁØ_±¹¿Übal" xfId="775" xr:uid="{00000000-0005-0000-0000-000006030000}"/>
    <cellStyle name="C￥AØ_±¹¿UPL" xfId="776" xr:uid="{00000000-0005-0000-0000-000007030000}"/>
    <cellStyle name="Ç¥ÁØ_±¹¿ÜPL" xfId="777" xr:uid="{00000000-0005-0000-0000-000008030000}"/>
    <cellStyle name="C￥AØ_≫c¾÷ºIº° AN°e " xfId="778" xr:uid="{00000000-0005-0000-0000-000009030000}"/>
    <cellStyle name="Ç¥ÁØ_0N-HANDLING " xfId="779" xr:uid="{00000000-0005-0000-0000-00000A030000}"/>
    <cellStyle name="C￥AØ_¾ÆA§AU¾÷" xfId="780" xr:uid="{00000000-0005-0000-0000-00000B030000}"/>
    <cellStyle name="Ç¥áø_2009_07_EBCFCE33417DB3FF492575E60021EC0C_12465228190770" xfId="781" xr:uid="{00000000-0005-0000-0000-00000C030000}"/>
    <cellStyle name="C￥AØ_5-1±¤°i _2001재무제표" xfId="782" xr:uid="{00000000-0005-0000-0000-00000D030000}"/>
    <cellStyle name="Ç¥ÁØ_5-1±¤°í _2001재무제표" xfId="783" xr:uid="{00000000-0005-0000-0000-00000E030000}"/>
    <cellStyle name="C￥AØ_96_5¹e°iºn¿e" xfId="784" xr:uid="{00000000-0005-0000-0000-00000F030000}"/>
    <cellStyle name="Ç¥ÁØ_96_5¹é°îºñ¿ë" xfId="785" xr:uid="{00000000-0005-0000-0000-000010030000}"/>
    <cellStyle name="C￥AØ_A|Aa¿e" xfId="786" xr:uid="{00000000-0005-0000-0000-000011030000}"/>
    <cellStyle name="Ç¥ÁØ_Á¦Ãâ¿ë" xfId="787" xr:uid="{00000000-0005-0000-0000-000012030000}"/>
    <cellStyle name="C￥AØ_Ay°eC￥(2¿u) " xfId="788" xr:uid="{00000000-0005-0000-0000-000013030000}"/>
    <cellStyle name="Ç¥ÁØ_Áý°èÇ¥(2¿ù) " xfId="789" xr:uid="{00000000-0005-0000-0000-000014030000}"/>
    <cellStyle name="C￥AØ_Ay°eC￥(2¿u) _2001재무제표" xfId="790" xr:uid="{00000000-0005-0000-0000-000015030000}"/>
    <cellStyle name="Ç¥ÁØ_Áý°èÇ¥(2¿ù) _2001재무제표" xfId="791" xr:uid="{00000000-0005-0000-0000-000016030000}"/>
    <cellStyle name="C￥AØ_CoAo¹yAI °A¾×¿ⓒ½A " xfId="792" xr:uid="{00000000-0005-0000-0000-000017030000}"/>
    <cellStyle name="Ç¥ÁØ_laroux" xfId="793" xr:uid="{00000000-0005-0000-0000-000018030000}"/>
    <cellStyle name="C￥AØ_laroux_1" xfId="794" xr:uid="{00000000-0005-0000-0000-000019030000}"/>
    <cellStyle name="Ç¥ÁØ_laroux_1" xfId="795" xr:uid="{00000000-0005-0000-0000-00001A030000}"/>
    <cellStyle name="C￥AØ_laroux_2" xfId="796" xr:uid="{00000000-0005-0000-0000-00001B030000}"/>
    <cellStyle name="Ç¥ÁØ_laroux_2" xfId="797" xr:uid="{00000000-0005-0000-0000-00001C030000}"/>
    <cellStyle name="C￥AØ_laroux_3" xfId="798" xr:uid="{00000000-0005-0000-0000-00001D030000}"/>
    <cellStyle name="Ç¥ÁØ_laroux_3" xfId="799" xr:uid="{00000000-0005-0000-0000-00001E030000}"/>
    <cellStyle name="C￥AØ_laroux_4" xfId="800" xr:uid="{00000000-0005-0000-0000-00001F030000}"/>
    <cellStyle name="Ç¥ÁØ_laroux_4" xfId="801" xr:uid="{00000000-0005-0000-0000-000020030000}"/>
    <cellStyle name="C￥AØ_laroux_5" xfId="802" xr:uid="{00000000-0005-0000-0000-000021030000}"/>
    <cellStyle name="Ç¥ÁØ_laroux_5" xfId="803" xr:uid="{00000000-0005-0000-0000-000022030000}"/>
    <cellStyle name="C￥AØ_Sheet1" xfId="804" xr:uid="{00000000-0005-0000-0000-000023030000}"/>
    <cellStyle name="Ç¥ÁØ_Sheet1" xfId="805" xr:uid="{00000000-0005-0000-0000-000024030000}"/>
    <cellStyle name="C￥AØ_Sheet1_¿μ¾÷CoE² " xfId="806" xr:uid="{00000000-0005-0000-0000-000025030000}"/>
    <cellStyle name="Ç¥ÁØ_Sheet1_0N-HANDLING " xfId="807" xr:uid="{00000000-0005-0000-0000-000026030000}"/>
    <cellStyle name="C￥AØ_Sheet1_Ay°eC￥(2¿u) " xfId="808" xr:uid="{00000000-0005-0000-0000-000027030000}"/>
    <cellStyle name="Ç¥ÁØ_Sheet1_Áý°èÇ¥(2¿ù) " xfId="809" xr:uid="{00000000-0005-0000-0000-000028030000}"/>
    <cellStyle name="C￥AØ_Sheet1_Ay°eC￥(2¿u) _2001재무제표" xfId="810" xr:uid="{00000000-0005-0000-0000-000029030000}"/>
    <cellStyle name="Ç¥ÁØ_Sheet1_Áý°èÇ¥(2¿ù) _2001재무제표" xfId="811" xr:uid="{00000000-0005-0000-0000-00002A030000}"/>
    <cellStyle name="Calc Currency (0)" xfId="812" xr:uid="{00000000-0005-0000-0000-00002B030000}"/>
    <cellStyle name="Calculation" xfId="813" xr:uid="{00000000-0005-0000-0000-00002C030000}"/>
    <cellStyle name="Calculation 2" xfId="814" xr:uid="{00000000-0005-0000-0000-00002D030000}"/>
    <cellStyle name="Calculation 2 2" xfId="815" xr:uid="{00000000-0005-0000-0000-00002E030000}"/>
    <cellStyle name="Calculation 2 2 2" xfId="816" xr:uid="{00000000-0005-0000-0000-00002F030000}"/>
    <cellStyle name="Calculation 2 2 3" xfId="817" xr:uid="{00000000-0005-0000-0000-000030030000}"/>
    <cellStyle name="Calculation 2 3" xfId="818" xr:uid="{00000000-0005-0000-0000-000031030000}"/>
    <cellStyle name="Calculation 2 4" xfId="819" xr:uid="{00000000-0005-0000-0000-000032030000}"/>
    <cellStyle name="Calculation 3" xfId="820" xr:uid="{00000000-0005-0000-0000-000033030000}"/>
    <cellStyle name="Calculation 3 2" xfId="821" xr:uid="{00000000-0005-0000-0000-000034030000}"/>
    <cellStyle name="Calculation 3 2 2" xfId="822" xr:uid="{00000000-0005-0000-0000-000035030000}"/>
    <cellStyle name="Calculation 3 2 3" xfId="823" xr:uid="{00000000-0005-0000-0000-000036030000}"/>
    <cellStyle name="Calculation 3 3" xfId="824" xr:uid="{00000000-0005-0000-0000-000037030000}"/>
    <cellStyle name="Calculation 3 4" xfId="825" xr:uid="{00000000-0005-0000-0000-000038030000}"/>
    <cellStyle name="Calculation 4" xfId="826" xr:uid="{00000000-0005-0000-0000-000039030000}"/>
    <cellStyle name="Calculation 4 2" xfId="827" xr:uid="{00000000-0005-0000-0000-00003A030000}"/>
    <cellStyle name="Calculation 4 3" xfId="828" xr:uid="{00000000-0005-0000-0000-00003B030000}"/>
    <cellStyle name="Calculation 5" xfId="829" xr:uid="{00000000-0005-0000-0000-00003C030000}"/>
    <cellStyle name="Calculation 6" xfId="830" xr:uid="{00000000-0005-0000-0000-00003D030000}"/>
    <cellStyle name="Case" xfId="831" xr:uid="{00000000-0005-0000-0000-00003E030000}"/>
    <cellStyle name="category" xfId="832" xr:uid="{00000000-0005-0000-0000-00003F030000}"/>
    <cellStyle name="Check Cell" xfId="833" xr:uid="{00000000-0005-0000-0000-000040030000}"/>
    <cellStyle name="Comma" xfId="834" xr:uid="{00000000-0005-0000-0000-000041030000}"/>
    <cellStyle name="Comma  - Style1" xfId="835" xr:uid="{00000000-0005-0000-0000-000042030000}"/>
    <cellStyle name="Comma  - Style2" xfId="836" xr:uid="{00000000-0005-0000-0000-000043030000}"/>
    <cellStyle name="Comma  - Style3" xfId="837" xr:uid="{00000000-0005-0000-0000-000044030000}"/>
    <cellStyle name="Comma  - Style4" xfId="838" xr:uid="{00000000-0005-0000-0000-000045030000}"/>
    <cellStyle name="Comma  - Style5" xfId="839" xr:uid="{00000000-0005-0000-0000-000046030000}"/>
    <cellStyle name="Comma  - Style6" xfId="840" xr:uid="{00000000-0005-0000-0000-000047030000}"/>
    <cellStyle name="Comma  - Style7" xfId="841" xr:uid="{00000000-0005-0000-0000-000048030000}"/>
    <cellStyle name="Comma  - Style8" xfId="842" xr:uid="{00000000-0005-0000-0000-000049030000}"/>
    <cellStyle name="Comma [0]" xfId="843" xr:uid="{00000000-0005-0000-0000-00004A030000}"/>
    <cellStyle name="Comma 0" xfId="844" xr:uid="{00000000-0005-0000-0000-00004B030000}"/>
    <cellStyle name="Comma 2" xfId="845" xr:uid="{00000000-0005-0000-0000-00004C030000}"/>
    <cellStyle name="comma zerodec" xfId="846" xr:uid="{00000000-0005-0000-0000-00004D030000}"/>
    <cellStyle name="Comma_ sg&amp;a br" xfId="847" xr:uid="{00000000-0005-0000-0000-00004E030000}"/>
    <cellStyle name="Comma0" xfId="848" xr:uid="{00000000-0005-0000-0000-00004F030000}"/>
    <cellStyle name="Copied" xfId="849" xr:uid="{00000000-0005-0000-0000-000050030000}"/>
    <cellStyle name="Currency" xfId="850" xr:uid="{00000000-0005-0000-0000-000051030000}"/>
    <cellStyle name="Currency [0]" xfId="851" xr:uid="{00000000-0005-0000-0000-000052030000}"/>
    <cellStyle name="Currency 0" xfId="852" xr:uid="{00000000-0005-0000-0000-000053030000}"/>
    <cellStyle name="Currency 2" xfId="853" xr:uid="{00000000-0005-0000-0000-000054030000}"/>
    <cellStyle name="currency-$" xfId="854" xr:uid="{00000000-0005-0000-0000-000055030000}"/>
    <cellStyle name="currency-$ 10" xfId="855" xr:uid="{00000000-0005-0000-0000-000056030000}"/>
    <cellStyle name="currency-$ 2" xfId="856" xr:uid="{00000000-0005-0000-0000-000057030000}"/>
    <cellStyle name="currency-$ 2 2" xfId="857" xr:uid="{00000000-0005-0000-0000-000058030000}"/>
    <cellStyle name="currency-$ 2 2 2" xfId="858" xr:uid="{00000000-0005-0000-0000-000059030000}"/>
    <cellStyle name="currency-$ 2 2 3" xfId="859" xr:uid="{00000000-0005-0000-0000-00005A030000}"/>
    <cellStyle name="currency-$ 2 3" xfId="860" xr:uid="{00000000-0005-0000-0000-00005B030000}"/>
    <cellStyle name="currency-$ 2 4" xfId="861" xr:uid="{00000000-0005-0000-0000-00005C030000}"/>
    <cellStyle name="currency-$ 3" xfId="862" xr:uid="{00000000-0005-0000-0000-00005D030000}"/>
    <cellStyle name="currency-$ 3 2" xfId="863" xr:uid="{00000000-0005-0000-0000-00005E030000}"/>
    <cellStyle name="currency-$ 3 2 2" xfId="864" xr:uid="{00000000-0005-0000-0000-00005F030000}"/>
    <cellStyle name="currency-$ 3 2 2 2" xfId="865" xr:uid="{00000000-0005-0000-0000-000060030000}"/>
    <cellStyle name="currency-$ 3 2 2 3" xfId="866" xr:uid="{00000000-0005-0000-0000-000061030000}"/>
    <cellStyle name="currency-$ 3 2 3" xfId="867" xr:uid="{00000000-0005-0000-0000-000062030000}"/>
    <cellStyle name="currency-$ 3 2 4" xfId="868" xr:uid="{00000000-0005-0000-0000-000063030000}"/>
    <cellStyle name="currency-$ 3 3" xfId="869" xr:uid="{00000000-0005-0000-0000-000064030000}"/>
    <cellStyle name="currency-$ 3 3 2" xfId="870" xr:uid="{00000000-0005-0000-0000-000065030000}"/>
    <cellStyle name="currency-$ 3 3 2 2" xfId="871" xr:uid="{00000000-0005-0000-0000-000066030000}"/>
    <cellStyle name="currency-$ 3 3 2 3" xfId="872" xr:uid="{00000000-0005-0000-0000-000067030000}"/>
    <cellStyle name="currency-$ 3 3 3" xfId="873" xr:uid="{00000000-0005-0000-0000-000068030000}"/>
    <cellStyle name="currency-$ 3 3 4" xfId="874" xr:uid="{00000000-0005-0000-0000-000069030000}"/>
    <cellStyle name="currency-$ 3 4" xfId="875" xr:uid="{00000000-0005-0000-0000-00006A030000}"/>
    <cellStyle name="currency-$ 3 4 2" xfId="876" xr:uid="{00000000-0005-0000-0000-00006B030000}"/>
    <cellStyle name="currency-$ 3 4 3" xfId="877" xr:uid="{00000000-0005-0000-0000-00006C030000}"/>
    <cellStyle name="currency-$ 3 5" xfId="878" xr:uid="{00000000-0005-0000-0000-00006D030000}"/>
    <cellStyle name="currency-$ 3 6" xfId="879" xr:uid="{00000000-0005-0000-0000-00006E030000}"/>
    <cellStyle name="currency-$ 4" xfId="880" xr:uid="{00000000-0005-0000-0000-00006F030000}"/>
    <cellStyle name="currency-$ 4 2" xfId="881" xr:uid="{00000000-0005-0000-0000-000070030000}"/>
    <cellStyle name="currency-$ 4 2 2" xfId="882" xr:uid="{00000000-0005-0000-0000-000071030000}"/>
    <cellStyle name="currency-$ 4 2 3" xfId="883" xr:uid="{00000000-0005-0000-0000-000072030000}"/>
    <cellStyle name="currency-$ 4 3" xfId="884" xr:uid="{00000000-0005-0000-0000-000073030000}"/>
    <cellStyle name="currency-$ 4 4" xfId="885" xr:uid="{00000000-0005-0000-0000-000074030000}"/>
    <cellStyle name="currency-$ 5" xfId="886" xr:uid="{00000000-0005-0000-0000-000075030000}"/>
    <cellStyle name="currency-$ 5 2" xfId="887" xr:uid="{00000000-0005-0000-0000-000076030000}"/>
    <cellStyle name="currency-$ 5 2 2" xfId="888" xr:uid="{00000000-0005-0000-0000-000077030000}"/>
    <cellStyle name="currency-$ 5 2 3" xfId="889" xr:uid="{00000000-0005-0000-0000-000078030000}"/>
    <cellStyle name="currency-$ 5 3" xfId="890" xr:uid="{00000000-0005-0000-0000-000079030000}"/>
    <cellStyle name="currency-$ 5 4" xfId="891" xr:uid="{00000000-0005-0000-0000-00007A030000}"/>
    <cellStyle name="currency-$ 6" xfId="892" xr:uid="{00000000-0005-0000-0000-00007B030000}"/>
    <cellStyle name="currency-$ 6 2" xfId="893" xr:uid="{00000000-0005-0000-0000-00007C030000}"/>
    <cellStyle name="currency-$ 6 2 2" xfId="894" xr:uid="{00000000-0005-0000-0000-00007D030000}"/>
    <cellStyle name="currency-$ 6 2 3" xfId="895" xr:uid="{00000000-0005-0000-0000-00007E030000}"/>
    <cellStyle name="currency-$ 6 3" xfId="896" xr:uid="{00000000-0005-0000-0000-00007F030000}"/>
    <cellStyle name="currency-$ 6 4" xfId="897" xr:uid="{00000000-0005-0000-0000-000080030000}"/>
    <cellStyle name="currency-$ 7" xfId="898" xr:uid="{00000000-0005-0000-0000-000081030000}"/>
    <cellStyle name="currency-$ 7 2" xfId="899" xr:uid="{00000000-0005-0000-0000-000082030000}"/>
    <cellStyle name="currency-$ 7 2 2" xfId="900" xr:uid="{00000000-0005-0000-0000-000083030000}"/>
    <cellStyle name="currency-$ 7 2 3" xfId="901" xr:uid="{00000000-0005-0000-0000-000084030000}"/>
    <cellStyle name="currency-$ 7 3" xfId="902" xr:uid="{00000000-0005-0000-0000-000085030000}"/>
    <cellStyle name="currency-$ 7 4" xfId="903" xr:uid="{00000000-0005-0000-0000-000086030000}"/>
    <cellStyle name="currency-$ 8" xfId="904" xr:uid="{00000000-0005-0000-0000-000087030000}"/>
    <cellStyle name="currency-$ 8 2" xfId="905" xr:uid="{00000000-0005-0000-0000-000088030000}"/>
    <cellStyle name="currency-$ 8 3" xfId="906" xr:uid="{00000000-0005-0000-0000-000089030000}"/>
    <cellStyle name="currency-$ 9" xfId="907" xr:uid="{00000000-0005-0000-0000-00008A030000}"/>
    <cellStyle name="Currency_ sg&amp;a" xfId="908" xr:uid="{00000000-0005-0000-0000-00008B030000}"/>
    <cellStyle name="Currency0" xfId="909" xr:uid="{00000000-0005-0000-0000-00008C030000}"/>
    <cellStyle name="Currency1" xfId="910" xr:uid="{00000000-0005-0000-0000-00008D030000}"/>
    <cellStyle name="Date" xfId="911" xr:uid="{00000000-0005-0000-0000-00008E030000}"/>
    <cellStyle name="Date Aligned" xfId="912" xr:uid="{00000000-0005-0000-0000-00008F030000}"/>
    <cellStyle name="Date_06-1분기-대손충당금." xfId="913" xr:uid="{00000000-0005-0000-0000-000090030000}"/>
    <cellStyle name="Dezimal [0]_Aktenbewertung 1994" xfId="914" xr:uid="{00000000-0005-0000-0000-000091030000}"/>
    <cellStyle name="Dezimal_Aktenbewertung 1994" xfId="915" xr:uid="{00000000-0005-0000-0000-000092030000}"/>
    <cellStyle name="dgw" xfId="916" xr:uid="{00000000-0005-0000-0000-000093030000}"/>
    <cellStyle name="Dollar (zero dec)" xfId="917" xr:uid="{00000000-0005-0000-0000-000094030000}"/>
    <cellStyle name="Dotted Line" xfId="918" xr:uid="{00000000-0005-0000-0000-000095030000}"/>
    <cellStyle name="Double Accounting" xfId="919" xr:uid="{00000000-0005-0000-0000-000096030000}"/>
    <cellStyle name="Entered" xfId="920" xr:uid="{00000000-0005-0000-0000-000097030000}"/>
    <cellStyle name="Euro" xfId="921" xr:uid="{00000000-0005-0000-0000-000098030000}"/>
    <cellStyle name="Euro 2" xfId="922" xr:uid="{00000000-0005-0000-0000-000099030000}"/>
    <cellStyle name="Explanatory Text" xfId="923" xr:uid="{00000000-0005-0000-0000-00009A030000}"/>
    <cellStyle name="F2" xfId="924" xr:uid="{00000000-0005-0000-0000-00009B030000}"/>
    <cellStyle name="F3" xfId="925" xr:uid="{00000000-0005-0000-0000-00009C030000}"/>
    <cellStyle name="F4" xfId="926" xr:uid="{00000000-0005-0000-0000-00009D030000}"/>
    <cellStyle name="F5" xfId="927" xr:uid="{00000000-0005-0000-0000-00009E030000}"/>
    <cellStyle name="F6" xfId="928" xr:uid="{00000000-0005-0000-0000-00009F030000}"/>
    <cellStyle name="F7" xfId="929" xr:uid="{00000000-0005-0000-0000-0000A0030000}"/>
    <cellStyle name="F8" xfId="930" xr:uid="{00000000-0005-0000-0000-0000A1030000}"/>
    <cellStyle name="Fixed" xfId="931" xr:uid="{00000000-0005-0000-0000-0000A2030000}"/>
    <cellStyle name="Followed Hyperlink" xfId="932" xr:uid="{00000000-0005-0000-0000-0000A3030000}"/>
    <cellStyle name="Footnote" xfId="933" xr:uid="{00000000-0005-0000-0000-0000A4030000}"/>
    <cellStyle name="Good" xfId="934" xr:uid="{00000000-0005-0000-0000-0000A5030000}"/>
    <cellStyle name="Grey" xfId="935" xr:uid="{00000000-0005-0000-0000-0000A6030000}"/>
    <cellStyle name="GROUPS" xfId="936" xr:uid="{00000000-0005-0000-0000-0000A7030000}"/>
    <cellStyle name="GROUPS 2" xfId="937" xr:uid="{00000000-0005-0000-0000-0000A8030000}"/>
    <cellStyle name="GROUPS 2 2" xfId="938" xr:uid="{00000000-0005-0000-0000-0000A9030000}"/>
    <cellStyle name="GROUPS 2 2 2" xfId="939" xr:uid="{00000000-0005-0000-0000-0000AA030000}"/>
    <cellStyle name="GROUPS 2 2 3" xfId="940" xr:uid="{00000000-0005-0000-0000-0000AB030000}"/>
    <cellStyle name="GROUPS 2 3" xfId="941" xr:uid="{00000000-0005-0000-0000-0000AC030000}"/>
    <cellStyle name="GROUPS 2 4" xfId="942" xr:uid="{00000000-0005-0000-0000-0000AD030000}"/>
    <cellStyle name="GROUPS 3" xfId="943" xr:uid="{00000000-0005-0000-0000-0000AE030000}"/>
    <cellStyle name="GROUPS 3 2" xfId="944" xr:uid="{00000000-0005-0000-0000-0000AF030000}"/>
    <cellStyle name="GROUPS 3 2 2" xfId="945" xr:uid="{00000000-0005-0000-0000-0000B0030000}"/>
    <cellStyle name="GROUPS 3 2 3" xfId="946" xr:uid="{00000000-0005-0000-0000-0000B1030000}"/>
    <cellStyle name="GROUPS 3 3" xfId="947" xr:uid="{00000000-0005-0000-0000-0000B2030000}"/>
    <cellStyle name="GROUPS 3 4" xfId="948" xr:uid="{00000000-0005-0000-0000-0000B3030000}"/>
    <cellStyle name="GROUPS 4" xfId="949" xr:uid="{00000000-0005-0000-0000-0000B4030000}"/>
    <cellStyle name="GROUPS 4 2" xfId="950" xr:uid="{00000000-0005-0000-0000-0000B5030000}"/>
    <cellStyle name="GROUPS 4 3" xfId="951" xr:uid="{00000000-0005-0000-0000-0000B6030000}"/>
    <cellStyle name="GROUPS 5" xfId="952" xr:uid="{00000000-0005-0000-0000-0000B7030000}"/>
    <cellStyle name="GROUPS 6" xfId="953" xr:uid="{00000000-0005-0000-0000-0000B8030000}"/>
    <cellStyle name="Hard Percent" xfId="954" xr:uid="{00000000-0005-0000-0000-0000B9030000}"/>
    <cellStyle name="head1" xfId="955" xr:uid="{00000000-0005-0000-0000-0000BA030000}"/>
    <cellStyle name="head2" xfId="956" xr:uid="{00000000-0005-0000-0000-0000BB030000}"/>
    <cellStyle name="head3" xfId="957" xr:uid="{00000000-0005-0000-0000-0000BC030000}"/>
    <cellStyle name="HEADER" xfId="958" xr:uid="{00000000-0005-0000-0000-0000BD030000}"/>
    <cellStyle name="Header1" xfId="959" xr:uid="{00000000-0005-0000-0000-0000BE030000}"/>
    <cellStyle name="Header2" xfId="960" xr:uid="{00000000-0005-0000-0000-0000BF030000}"/>
    <cellStyle name="Header2 10" xfId="961" xr:uid="{00000000-0005-0000-0000-0000C0030000}"/>
    <cellStyle name="Header2 11" xfId="962" xr:uid="{00000000-0005-0000-0000-0000C1030000}"/>
    <cellStyle name="Header2 2" xfId="963" xr:uid="{00000000-0005-0000-0000-0000C2030000}"/>
    <cellStyle name="Header2 2 2" xfId="964" xr:uid="{00000000-0005-0000-0000-0000C3030000}"/>
    <cellStyle name="Header2 2 2 2" xfId="965" xr:uid="{00000000-0005-0000-0000-0000C4030000}"/>
    <cellStyle name="Header2 2 2 2 2" xfId="966" xr:uid="{00000000-0005-0000-0000-0000C5030000}"/>
    <cellStyle name="Header2 2 2 2 3" xfId="967" xr:uid="{00000000-0005-0000-0000-0000C6030000}"/>
    <cellStyle name="Header2 2 2 3" xfId="968" xr:uid="{00000000-0005-0000-0000-0000C7030000}"/>
    <cellStyle name="Header2 2 2 4" xfId="969" xr:uid="{00000000-0005-0000-0000-0000C8030000}"/>
    <cellStyle name="Header2 2 3" xfId="970" xr:uid="{00000000-0005-0000-0000-0000C9030000}"/>
    <cellStyle name="Header2 2 3 2" xfId="971" xr:uid="{00000000-0005-0000-0000-0000CA030000}"/>
    <cellStyle name="Header2 2 3 3" xfId="972" xr:uid="{00000000-0005-0000-0000-0000CB030000}"/>
    <cellStyle name="Header2 2 4" xfId="973" xr:uid="{00000000-0005-0000-0000-0000CC030000}"/>
    <cellStyle name="Header2 2 5" xfId="974" xr:uid="{00000000-0005-0000-0000-0000CD030000}"/>
    <cellStyle name="Header2 3" xfId="975" xr:uid="{00000000-0005-0000-0000-0000CE030000}"/>
    <cellStyle name="Header2 3 2" xfId="976" xr:uid="{00000000-0005-0000-0000-0000CF030000}"/>
    <cellStyle name="Header2 3 2 2" xfId="977" xr:uid="{00000000-0005-0000-0000-0000D0030000}"/>
    <cellStyle name="Header2 3 2 2 2" xfId="978" xr:uid="{00000000-0005-0000-0000-0000D1030000}"/>
    <cellStyle name="Header2 3 2 2 3" xfId="979" xr:uid="{00000000-0005-0000-0000-0000D2030000}"/>
    <cellStyle name="Header2 3 2 3" xfId="980" xr:uid="{00000000-0005-0000-0000-0000D3030000}"/>
    <cellStyle name="Header2 3 2 4" xfId="981" xr:uid="{00000000-0005-0000-0000-0000D4030000}"/>
    <cellStyle name="Header2 3 3" xfId="982" xr:uid="{00000000-0005-0000-0000-0000D5030000}"/>
    <cellStyle name="Header2 3 3 2" xfId="983" xr:uid="{00000000-0005-0000-0000-0000D6030000}"/>
    <cellStyle name="Header2 3 3 3" xfId="984" xr:uid="{00000000-0005-0000-0000-0000D7030000}"/>
    <cellStyle name="Header2 3 4" xfId="985" xr:uid="{00000000-0005-0000-0000-0000D8030000}"/>
    <cellStyle name="Header2 3 5" xfId="986" xr:uid="{00000000-0005-0000-0000-0000D9030000}"/>
    <cellStyle name="Header2 4" xfId="987" xr:uid="{00000000-0005-0000-0000-0000DA030000}"/>
    <cellStyle name="Header2 4 2" xfId="988" xr:uid="{00000000-0005-0000-0000-0000DB030000}"/>
    <cellStyle name="Header2 4 2 2" xfId="989" xr:uid="{00000000-0005-0000-0000-0000DC030000}"/>
    <cellStyle name="Header2 4 2 2 2" xfId="990" xr:uid="{00000000-0005-0000-0000-0000DD030000}"/>
    <cellStyle name="Header2 4 2 2 3" xfId="991" xr:uid="{00000000-0005-0000-0000-0000DE030000}"/>
    <cellStyle name="Header2 4 2 3" xfId="992" xr:uid="{00000000-0005-0000-0000-0000DF030000}"/>
    <cellStyle name="Header2 4 2 4" xfId="993" xr:uid="{00000000-0005-0000-0000-0000E0030000}"/>
    <cellStyle name="Header2 4 3" xfId="994" xr:uid="{00000000-0005-0000-0000-0000E1030000}"/>
    <cellStyle name="Header2 4 3 2" xfId="995" xr:uid="{00000000-0005-0000-0000-0000E2030000}"/>
    <cellStyle name="Header2 4 3 3" xfId="996" xr:uid="{00000000-0005-0000-0000-0000E3030000}"/>
    <cellStyle name="Header2 4 4" xfId="997" xr:uid="{00000000-0005-0000-0000-0000E4030000}"/>
    <cellStyle name="Header2 4 5" xfId="998" xr:uid="{00000000-0005-0000-0000-0000E5030000}"/>
    <cellStyle name="Header2 5" xfId="999" xr:uid="{00000000-0005-0000-0000-0000E6030000}"/>
    <cellStyle name="Header2 5 2" xfId="1000" xr:uid="{00000000-0005-0000-0000-0000E7030000}"/>
    <cellStyle name="Header2 5 2 2" xfId="1001" xr:uid="{00000000-0005-0000-0000-0000E8030000}"/>
    <cellStyle name="Header2 5 2 2 2" xfId="1002" xr:uid="{00000000-0005-0000-0000-0000E9030000}"/>
    <cellStyle name="Header2 5 2 2 3" xfId="1003" xr:uid="{00000000-0005-0000-0000-0000EA030000}"/>
    <cellStyle name="Header2 5 2 3" xfId="1004" xr:uid="{00000000-0005-0000-0000-0000EB030000}"/>
    <cellStyle name="Header2 5 2 4" xfId="1005" xr:uid="{00000000-0005-0000-0000-0000EC030000}"/>
    <cellStyle name="Header2 5 3" xfId="1006" xr:uid="{00000000-0005-0000-0000-0000ED030000}"/>
    <cellStyle name="Header2 5 3 2" xfId="1007" xr:uid="{00000000-0005-0000-0000-0000EE030000}"/>
    <cellStyle name="Header2 5 3 2 2" xfId="1008" xr:uid="{00000000-0005-0000-0000-0000EF030000}"/>
    <cellStyle name="Header2 5 3 2 3" xfId="1009" xr:uid="{00000000-0005-0000-0000-0000F0030000}"/>
    <cellStyle name="Header2 5 3 3" xfId="1010" xr:uid="{00000000-0005-0000-0000-0000F1030000}"/>
    <cellStyle name="Header2 5 3 4" xfId="1011" xr:uid="{00000000-0005-0000-0000-0000F2030000}"/>
    <cellStyle name="Header2 5 4" xfId="1012" xr:uid="{00000000-0005-0000-0000-0000F3030000}"/>
    <cellStyle name="Header2 5 4 2" xfId="1013" xr:uid="{00000000-0005-0000-0000-0000F4030000}"/>
    <cellStyle name="Header2 5 4 3" xfId="1014" xr:uid="{00000000-0005-0000-0000-0000F5030000}"/>
    <cellStyle name="Header2 5 5" xfId="1015" xr:uid="{00000000-0005-0000-0000-0000F6030000}"/>
    <cellStyle name="Header2 5 6" xfId="1016" xr:uid="{00000000-0005-0000-0000-0000F7030000}"/>
    <cellStyle name="Header2 6" xfId="1017" xr:uid="{00000000-0005-0000-0000-0000F8030000}"/>
    <cellStyle name="Header2 6 2" xfId="1018" xr:uid="{00000000-0005-0000-0000-0000F9030000}"/>
    <cellStyle name="Header2 6 2 2" xfId="1019" xr:uid="{00000000-0005-0000-0000-0000FA030000}"/>
    <cellStyle name="Header2 6 2 3" xfId="1020" xr:uid="{00000000-0005-0000-0000-0000FB030000}"/>
    <cellStyle name="Header2 6 3" xfId="1021" xr:uid="{00000000-0005-0000-0000-0000FC030000}"/>
    <cellStyle name="Header2 6 4" xfId="1022" xr:uid="{00000000-0005-0000-0000-0000FD030000}"/>
    <cellStyle name="Header2 7" xfId="1023" xr:uid="{00000000-0005-0000-0000-0000FE030000}"/>
    <cellStyle name="Header2 7 2" xfId="1024" xr:uid="{00000000-0005-0000-0000-0000FF030000}"/>
    <cellStyle name="Header2 7 2 2" xfId="1025" xr:uid="{00000000-0005-0000-0000-000000040000}"/>
    <cellStyle name="Header2 7 2 3" xfId="1026" xr:uid="{00000000-0005-0000-0000-000001040000}"/>
    <cellStyle name="Header2 7 3" xfId="1027" xr:uid="{00000000-0005-0000-0000-000002040000}"/>
    <cellStyle name="Header2 7 4" xfId="1028" xr:uid="{00000000-0005-0000-0000-000003040000}"/>
    <cellStyle name="Header2 8" xfId="1029" xr:uid="{00000000-0005-0000-0000-000004040000}"/>
    <cellStyle name="Header2 8 2" xfId="1030" xr:uid="{00000000-0005-0000-0000-000005040000}"/>
    <cellStyle name="Header2 8 2 2" xfId="1031" xr:uid="{00000000-0005-0000-0000-000006040000}"/>
    <cellStyle name="Header2 8 2 3" xfId="1032" xr:uid="{00000000-0005-0000-0000-000007040000}"/>
    <cellStyle name="Header2 8 3" xfId="1033" xr:uid="{00000000-0005-0000-0000-000008040000}"/>
    <cellStyle name="Header2 8 4" xfId="1034" xr:uid="{00000000-0005-0000-0000-000009040000}"/>
    <cellStyle name="Header2 9" xfId="1035" xr:uid="{00000000-0005-0000-0000-00000A040000}"/>
    <cellStyle name="Header2 9 2" xfId="1036" xr:uid="{00000000-0005-0000-0000-00000B040000}"/>
    <cellStyle name="Header2 9 3" xfId="1037" xr:uid="{00000000-0005-0000-0000-00000C040000}"/>
    <cellStyle name="Heading" xfId="1038" xr:uid="{00000000-0005-0000-0000-00000D040000}"/>
    <cellStyle name="Heading 1" xfId="1039" xr:uid="{00000000-0005-0000-0000-00000E040000}"/>
    <cellStyle name="Heading 2" xfId="1040" xr:uid="{00000000-0005-0000-0000-00000F040000}"/>
    <cellStyle name="Heading 3" xfId="1041" xr:uid="{00000000-0005-0000-0000-000010040000}"/>
    <cellStyle name="Heading 4" xfId="1042" xr:uid="{00000000-0005-0000-0000-000011040000}"/>
    <cellStyle name="heading, 1,A MAJOR/BOLD" xfId="1043" xr:uid="{00000000-0005-0000-0000-000012040000}"/>
    <cellStyle name="Heading_신용위험및중기대부문 조사표(081109)_펀드담보대출" xfId="1044" xr:uid="{00000000-0005-0000-0000-000013040000}"/>
    <cellStyle name="Heading1" xfId="1045" xr:uid="{00000000-0005-0000-0000-000014040000}"/>
    <cellStyle name="Heading2" xfId="1046" xr:uid="{00000000-0005-0000-0000-000015040000}"/>
    <cellStyle name="HeadingS" xfId="1047" xr:uid="{00000000-0005-0000-0000-000016040000}"/>
    <cellStyle name="Hyperlink" xfId="1048" xr:uid="{00000000-0005-0000-0000-000017040000}"/>
    <cellStyle name="Input" xfId="1049" xr:uid="{00000000-0005-0000-0000-000018040000}"/>
    <cellStyle name="Input [yellow]" xfId="1050" xr:uid="{00000000-0005-0000-0000-000019040000}"/>
    <cellStyle name="Input [yellow] 10" xfId="1051" xr:uid="{00000000-0005-0000-0000-00001A040000}"/>
    <cellStyle name="Input [yellow] 2" xfId="1052" xr:uid="{00000000-0005-0000-0000-00001B040000}"/>
    <cellStyle name="Input [yellow] 2 2" xfId="1053" xr:uid="{00000000-0005-0000-0000-00001C040000}"/>
    <cellStyle name="Input [yellow] 2 2 2" xfId="1054" xr:uid="{00000000-0005-0000-0000-00001D040000}"/>
    <cellStyle name="Input [yellow] 2 2 3" xfId="1055" xr:uid="{00000000-0005-0000-0000-00001E040000}"/>
    <cellStyle name="Input [yellow] 2 3" xfId="1056" xr:uid="{00000000-0005-0000-0000-00001F040000}"/>
    <cellStyle name="Input [yellow] 2 4" xfId="1057" xr:uid="{00000000-0005-0000-0000-000020040000}"/>
    <cellStyle name="Input [yellow] 3" xfId="1058" xr:uid="{00000000-0005-0000-0000-000021040000}"/>
    <cellStyle name="Input [yellow] 3 2" xfId="1059" xr:uid="{00000000-0005-0000-0000-000022040000}"/>
    <cellStyle name="Input [yellow] 3 2 2" xfId="1060" xr:uid="{00000000-0005-0000-0000-000023040000}"/>
    <cellStyle name="Input [yellow] 3 2 2 2" xfId="1061" xr:uid="{00000000-0005-0000-0000-000024040000}"/>
    <cellStyle name="Input [yellow] 3 2 2 3" xfId="1062" xr:uid="{00000000-0005-0000-0000-000025040000}"/>
    <cellStyle name="Input [yellow] 3 2 3" xfId="1063" xr:uid="{00000000-0005-0000-0000-000026040000}"/>
    <cellStyle name="Input [yellow] 3 2 4" xfId="1064" xr:uid="{00000000-0005-0000-0000-000027040000}"/>
    <cellStyle name="Input [yellow] 3 3" xfId="1065" xr:uid="{00000000-0005-0000-0000-000028040000}"/>
    <cellStyle name="Input [yellow] 3 3 2" xfId="1066" xr:uid="{00000000-0005-0000-0000-000029040000}"/>
    <cellStyle name="Input [yellow] 3 3 2 2" xfId="1067" xr:uid="{00000000-0005-0000-0000-00002A040000}"/>
    <cellStyle name="Input [yellow] 3 3 2 3" xfId="1068" xr:uid="{00000000-0005-0000-0000-00002B040000}"/>
    <cellStyle name="Input [yellow] 3 3 3" xfId="1069" xr:uid="{00000000-0005-0000-0000-00002C040000}"/>
    <cellStyle name="Input [yellow] 3 3 4" xfId="1070" xr:uid="{00000000-0005-0000-0000-00002D040000}"/>
    <cellStyle name="Input [yellow] 3 4" xfId="1071" xr:uid="{00000000-0005-0000-0000-00002E040000}"/>
    <cellStyle name="Input [yellow] 3 4 2" xfId="1072" xr:uid="{00000000-0005-0000-0000-00002F040000}"/>
    <cellStyle name="Input [yellow] 3 4 3" xfId="1073" xr:uid="{00000000-0005-0000-0000-000030040000}"/>
    <cellStyle name="Input [yellow] 3 5" xfId="1074" xr:uid="{00000000-0005-0000-0000-000031040000}"/>
    <cellStyle name="Input [yellow] 3 6" xfId="1075" xr:uid="{00000000-0005-0000-0000-000032040000}"/>
    <cellStyle name="Input [yellow] 4" xfId="1076" xr:uid="{00000000-0005-0000-0000-000033040000}"/>
    <cellStyle name="Input [yellow] 4 2" xfId="1077" xr:uid="{00000000-0005-0000-0000-000034040000}"/>
    <cellStyle name="Input [yellow] 4 2 2" xfId="1078" xr:uid="{00000000-0005-0000-0000-000035040000}"/>
    <cellStyle name="Input [yellow] 4 2 2 2" xfId="1079" xr:uid="{00000000-0005-0000-0000-000036040000}"/>
    <cellStyle name="Input [yellow] 4 2 2 3" xfId="1080" xr:uid="{00000000-0005-0000-0000-000037040000}"/>
    <cellStyle name="Input [yellow] 4 2 3" xfId="1081" xr:uid="{00000000-0005-0000-0000-000038040000}"/>
    <cellStyle name="Input [yellow] 4 2 4" xfId="1082" xr:uid="{00000000-0005-0000-0000-000039040000}"/>
    <cellStyle name="Input [yellow] 4 3" xfId="1083" xr:uid="{00000000-0005-0000-0000-00003A040000}"/>
    <cellStyle name="Input [yellow] 4 3 2" xfId="1084" xr:uid="{00000000-0005-0000-0000-00003B040000}"/>
    <cellStyle name="Input [yellow] 4 3 2 2" xfId="1085" xr:uid="{00000000-0005-0000-0000-00003C040000}"/>
    <cellStyle name="Input [yellow] 4 3 2 3" xfId="1086" xr:uid="{00000000-0005-0000-0000-00003D040000}"/>
    <cellStyle name="Input [yellow] 4 3 3" xfId="1087" xr:uid="{00000000-0005-0000-0000-00003E040000}"/>
    <cellStyle name="Input [yellow] 4 3 4" xfId="1088" xr:uid="{00000000-0005-0000-0000-00003F040000}"/>
    <cellStyle name="Input [yellow] 4 4" xfId="1089" xr:uid="{00000000-0005-0000-0000-000040040000}"/>
    <cellStyle name="Input [yellow] 4 4 2" xfId="1090" xr:uid="{00000000-0005-0000-0000-000041040000}"/>
    <cellStyle name="Input [yellow] 4 4 3" xfId="1091" xr:uid="{00000000-0005-0000-0000-000042040000}"/>
    <cellStyle name="Input [yellow] 4 5" xfId="1092" xr:uid="{00000000-0005-0000-0000-000043040000}"/>
    <cellStyle name="Input [yellow] 4 6" xfId="1093" xr:uid="{00000000-0005-0000-0000-000044040000}"/>
    <cellStyle name="Input [yellow] 5" xfId="1094" xr:uid="{00000000-0005-0000-0000-000045040000}"/>
    <cellStyle name="Input [yellow] 5 2" xfId="1095" xr:uid="{00000000-0005-0000-0000-000046040000}"/>
    <cellStyle name="Input [yellow] 5 2 2" xfId="1096" xr:uid="{00000000-0005-0000-0000-000047040000}"/>
    <cellStyle name="Input [yellow] 5 2 3" xfId="1097" xr:uid="{00000000-0005-0000-0000-000048040000}"/>
    <cellStyle name="Input [yellow] 5 3" xfId="1098" xr:uid="{00000000-0005-0000-0000-000049040000}"/>
    <cellStyle name="Input [yellow] 5 4" xfId="1099" xr:uid="{00000000-0005-0000-0000-00004A040000}"/>
    <cellStyle name="Input [yellow] 6" xfId="1100" xr:uid="{00000000-0005-0000-0000-00004B040000}"/>
    <cellStyle name="Input [yellow] 6 2" xfId="1101" xr:uid="{00000000-0005-0000-0000-00004C040000}"/>
    <cellStyle name="Input [yellow] 6 2 2" xfId="1102" xr:uid="{00000000-0005-0000-0000-00004D040000}"/>
    <cellStyle name="Input [yellow] 6 2 3" xfId="1103" xr:uid="{00000000-0005-0000-0000-00004E040000}"/>
    <cellStyle name="Input [yellow] 6 3" xfId="1104" xr:uid="{00000000-0005-0000-0000-00004F040000}"/>
    <cellStyle name="Input [yellow] 6 4" xfId="1105" xr:uid="{00000000-0005-0000-0000-000050040000}"/>
    <cellStyle name="Input [yellow] 7" xfId="1106" xr:uid="{00000000-0005-0000-0000-000051040000}"/>
    <cellStyle name="Input [yellow] 7 2" xfId="1107" xr:uid="{00000000-0005-0000-0000-000052040000}"/>
    <cellStyle name="Input [yellow] 7 2 2" xfId="1108" xr:uid="{00000000-0005-0000-0000-000053040000}"/>
    <cellStyle name="Input [yellow] 7 2 3" xfId="1109" xr:uid="{00000000-0005-0000-0000-000054040000}"/>
    <cellStyle name="Input [yellow] 7 3" xfId="1110" xr:uid="{00000000-0005-0000-0000-000055040000}"/>
    <cellStyle name="Input [yellow] 7 4" xfId="1111" xr:uid="{00000000-0005-0000-0000-000056040000}"/>
    <cellStyle name="Input [yellow] 8" xfId="1112" xr:uid="{00000000-0005-0000-0000-000057040000}"/>
    <cellStyle name="Input [yellow] 8 2" xfId="1113" xr:uid="{00000000-0005-0000-0000-000058040000}"/>
    <cellStyle name="Input [yellow] 8 3" xfId="1114" xr:uid="{00000000-0005-0000-0000-000059040000}"/>
    <cellStyle name="Input [yellow] 9" xfId="1115" xr:uid="{00000000-0005-0000-0000-00005A040000}"/>
    <cellStyle name="InputBlueFont" xfId="1116" xr:uid="{00000000-0005-0000-0000-00005B040000}"/>
    <cellStyle name="KTY" xfId="1117" xr:uid="{00000000-0005-0000-0000-00005C040000}"/>
    <cellStyle name="left" xfId="1118" xr:uid="{00000000-0005-0000-0000-00005D040000}"/>
    <cellStyle name="Linked Cell" xfId="1119" xr:uid="{00000000-0005-0000-0000-00005E040000}"/>
    <cellStyle name="MenuHeading" xfId="1120" xr:uid="{00000000-0005-0000-0000-00005F040000}"/>
    <cellStyle name="Millares [0]_2AV_M_M " xfId="1121" xr:uid="{00000000-0005-0000-0000-000060040000}"/>
    <cellStyle name="Millares_2AV_M_M " xfId="1122" xr:uid="{00000000-0005-0000-0000-000061040000}"/>
    <cellStyle name="Milliers [0]_Arabian Spec" xfId="1123" xr:uid="{00000000-0005-0000-0000-000062040000}"/>
    <cellStyle name="Milliers_Arabian Spec" xfId="1124" xr:uid="{00000000-0005-0000-0000-000063040000}"/>
    <cellStyle name="MLHeaderSection" xfId="1125" xr:uid="{00000000-0005-0000-0000-000064040000}"/>
    <cellStyle name="Model" xfId="1126" xr:uid="{00000000-0005-0000-0000-000065040000}"/>
    <cellStyle name="Mon?aire [0]_Arabian Spec" xfId="1127" xr:uid="{00000000-0005-0000-0000-000066040000}"/>
    <cellStyle name="Mon?aire_Arabian Spec" xfId="1128" xr:uid="{00000000-0005-0000-0000-000067040000}"/>
    <cellStyle name="Moneda [0]_2AV_M_M " xfId="1129" xr:uid="{00000000-0005-0000-0000-000068040000}"/>
    <cellStyle name="Moneda_2AV_M_M " xfId="1130" xr:uid="{00000000-0005-0000-0000-000069040000}"/>
    <cellStyle name="Multiple" xfId="1131" xr:uid="{00000000-0005-0000-0000-00006A040000}"/>
    <cellStyle name="Multiple0" xfId="1132" xr:uid="{00000000-0005-0000-0000-00006B040000}"/>
    <cellStyle name="navbar" xfId="1133" xr:uid="{00000000-0005-0000-0000-00006C040000}"/>
    <cellStyle name="Neutral" xfId="1134" xr:uid="{00000000-0005-0000-0000-00006D040000}"/>
    <cellStyle name="no dec" xfId="1135" xr:uid="{00000000-0005-0000-0000-00006E040000}"/>
    <cellStyle name="Normal" xfId="1136" xr:uid="{00000000-0005-0000-0000-00006F040000}"/>
    <cellStyle name="Normal - Style1" xfId="1137" xr:uid="{00000000-0005-0000-0000-000070040000}"/>
    <cellStyle name="Normal - Style1 2" xfId="1138" xr:uid="{00000000-0005-0000-0000-000071040000}"/>
    <cellStyle name="Normal - Style2" xfId="1139" xr:uid="{00000000-0005-0000-0000-000072040000}"/>
    <cellStyle name="Normal - Style3" xfId="1140" xr:uid="{00000000-0005-0000-0000-000073040000}"/>
    <cellStyle name="Normal - Style4" xfId="1141" xr:uid="{00000000-0005-0000-0000-000074040000}"/>
    <cellStyle name="Normal - Style5" xfId="1142" xr:uid="{00000000-0005-0000-0000-000075040000}"/>
    <cellStyle name="Normal - Style6" xfId="1143" xr:uid="{00000000-0005-0000-0000-000076040000}"/>
    <cellStyle name="Normal - Style7" xfId="1144" xr:uid="{00000000-0005-0000-0000-000077040000}"/>
    <cellStyle name="Normal - Style8" xfId="1145" xr:uid="{00000000-0005-0000-0000-000078040000}"/>
    <cellStyle name="Normal 2" xfId="1146" xr:uid="{00000000-0005-0000-0000-000079040000}"/>
    <cellStyle name="Normal_ sg&amp;a b" xfId="1147" xr:uid="{00000000-0005-0000-0000-00007A040000}"/>
    <cellStyle name="Normal1" xfId="1148" xr:uid="{00000000-0005-0000-0000-00007B040000}"/>
    <cellStyle name="Normal2" xfId="1149" xr:uid="{00000000-0005-0000-0000-00007C040000}"/>
    <cellStyle name="Normal3" xfId="1150" xr:uid="{00000000-0005-0000-0000-00007D040000}"/>
    <cellStyle name="Normal4" xfId="1151" xr:uid="{00000000-0005-0000-0000-00007E040000}"/>
    <cellStyle name="Normale_FS1.XLS" xfId="1152" xr:uid="{00000000-0005-0000-0000-00007F040000}"/>
    <cellStyle name="Note" xfId="1153" xr:uid="{00000000-0005-0000-0000-000080040000}"/>
    <cellStyle name="Note2" xfId="1154" xr:uid="{00000000-0005-0000-0000-000081040000}"/>
    <cellStyle name="Œ…?æ맖?e [0.00]_laroux" xfId="1155" xr:uid="{00000000-0005-0000-0000-000082040000}"/>
    <cellStyle name="Œ…?æ맖?e_laroux" xfId="1156" xr:uid="{00000000-0005-0000-0000-000083040000}"/>
    <cellStyle name="Œ…‹æØ‚è [0.00]_PRODUCT DETAIL Q1" xfId="1157" xr:uid="{00000000-0005-0000-0000-000084040000}"/>
    <cellStyle name="Œ…‹æØ‚è_PRODUCT DETAIL Q1" xfId="1158" xr:uid="{00000000-0005-0000-0000-000085040000}"/>
    <cellStyle name="oft Excel]_x000d__x000a_Comment=The open=/f lines load custom functions into the Paste Function list._x000d__x000a_Maximized=3_x000d__x000a_AutoFormat=" xfId="1159" xr:uid="{00000000-0005-0000-0000-000086040000}"/>
    <cellStyle name="Output" xfId="1160" xr:uid="{00000000-0005-0000-0000-000087040000}"/>
    <cellStyle name="Output 2" xfId="1161" xr:uid="{00000000-0005-0000-0000-000088040000}"/>
    <cellStyle name="Output 2 2" xfId="1162" xr:uid="{00000000-0005-0000-0000-000089040000}"/>
    <cellStyle name="Output 2 2 2" xfId="1163" xr:uid="{00000000-0005-0000-0000-00008A040000}"/>
    <cellStyle name="Output 2 2 3" xfId="1164" xr:uid="{00000000-0005-0000-0000-00008B040000}"/>
    <cellStyle name="Output 2 3" xfId="1165" xr:uid="{00000000-0005-0000-0000-00008C040000}"/>
    <cellStyle name="Output 2 4" xfId="1166" xr:uid="{00000000-0005-0000-0000-00008D040000}"/>
    <cellStyle name="Output 3" xfId="1167" xr:uid="{00000000-0005-0000-0000-00008E040000}"/>
    <cellStyle name="Output 3 2" xfId="1168" xr:uid="{00000000-0005-0000-0000-00008F040000}"/>
    <cellStyle name="Output 3 2 2" xfId="1169" xr:uid="{00000000-0005-0000-0000-000090040000}"/>
    <cellStyle name="Output 3 2 3" xfId="1170" xr:uid="{00000000-0005-0000-0000-000091040000}"/>
    <cellStyle name="Output 3 3" xfId="1171" xr:uid="{00000000-0005-0000-0000-000092040000}"/>
    <cellStyle name="Output 3 4" xfId="1172" xr:uid="{00000000-0005-0000-0000-000093040000}"/>
    <cellStyle name="Output 4" xfId="1173" xr:uid="{00000000-0005-0000-0000-000094040000}"/>
    <cellStyle name="Output 4 2" xfId="1174" xr:uid="{00000000-0005-0000-0000-000095040000}"/>
    <cellStyle name="Output 4 3" xfId="1175" xr:uid="{00000000-0005-0000-0000-000096040000}"/>
    <cellStyle name="Output 5" xfId="1176" xr:uid="{00000000-0005-0000-0000-000097040000}"/>
    <cellStyle name="Output 6" xfId="1177" xr:uid="{00000000-0005-0000-0000-000098040000}"/>
    <cellStyle name="Output Amounts" xfId="1178" xr:uid="{00000000-0005-0000-0000-000099040000}"/>
    <cellStyle name="Output Column Headings" xfId="1179" xr:uid="{00000000-0005-0000-0000-00009A040000}"/>
    <cellStyle name="Output Line Items" xfId="1180" xr:uid="{00000000-0005-0000-0000-00009B040000}"/>
    <cellStyle name="Output Line Items 2" xfId="1181" xr:uid="{00000000-0005-0000-0000-00009C040000}"/>
    <cellStyle name="Output Line Items 3" xfId="1182" xr:uid="{00000000-0005-0000-0000-00009D040000}"/>
    <cellStyle name="Output Report Heading" xfId="1183" xr:uid="{00000000-0005-0000-0000-00009E040000}"/>
    <cellStyle name="Output Report Title" xfId="1184" xr:uid="{00000000-0005-0000-0000-00009F040000}"/>
    <cellStyle name="Page Number" xfId="1185" xr:uid="{00000000-0005-0000-0000-0000A0040000}"/>
    <cellStyle name="PageSubtitle" xfId="1186" xr:uid="{00000000-0005-0000-0000-0000A1040000}"/>
    <cellStyle name="PageTitle" xfId="1187" xr:uid="{00000000-0005-0000-0000-0000A2040000}"/>
    <cellStyle name="PARK" xfId="1188" xr:uid="{00000000-0005-0000-0000-0000A3040000}"/>
    <cellStyle name="Percent" xfId="1189" xr:uid="{00000000-0005-0000-0000-0000A4040000}"/>
    <cellStyle name="Percent (0)" xfId="1190" xr:uid="{00000000-0005-0000-0000-0000A5040000}"/>
    <cellStyle name="Percent [2]" xfId="1191" xr:uid="{00000000-0005-0000-0000-0000A6040000}"/>
    <cellStyle name="Percent_(부속자료)자산건전성분류현황보고(09Y 7M)" xfId="1192" xr:uid="{00000000-0005-0000-0000-0000A7040000}"/>
    <cellStyle name="Percent0" xfId="1193" xr:uid="{00000000-0005-0000-0000-0000A8040000}"/>
    <cellStyle name="PillarData" xfId="1194" xr:uid="{00000000-0005-0000-0000-0000A9040000}"/>
    <cellStyle name="PillarHeading" xfId="1195" xr:uid="{00000000-0005-0000-0000-0000AA040000}"/>
    <cellStyle name="PillarText" xfId="1196" xr:uid="{00000000-0005-0000-0000-0000AB040000}"/>
    <cellStyle name="PillarTotal" xfId="1197" xr:uid="{00000000-0005-0000-0000-0000AC040000}"/>
    <cellStyle name="pricing" xfId="1198" xr:uid="{00000000-0005-0000-0000-0000AD040000}"/>
    <cellStyle name="process_applicable" xfId="1199" xr:uid="{00000000-0005-0000-0000-0000AE040000}"/>
    <cellStyle name="PSChar" xfId="1200" xr:uid="{00000000-0005-0000-0000-0000AF040000}"/>
    <cellStyle name="RevList" xfId="1201" xr:uid="{00000000-0005-0000-0000-0000B0040000}"/>
    <cellStyle name="s]_x000d__x000a_run=c:\Hedgehog\app31.exe_x000d__x000a_spooler=yes_x000d__x000a_load=_x000d__x000a_run=_x000d__x000a_Beep=yes_x000d__x000a_NullPort=None_x000d__x000a_BorderWidth=3_x000d__x000a_CursorBlinkRate=530_x000d__x000a_D" xfId="1202" xr:uid="{00000000-0005-0000-0000-0000B1040000}"/>
    <cellStyle name="s]_x000d__x000a_spooler=yes_x000d__x000a_load=_x000d__x000a_run=d:\secrets2\plugin\plugin.exe_x000d__x000a_Beep=yes_x000d__x000a_NullPort=None_x000d__x000a_BorderWidth=3_x000d__x000a_CursorBlinkRate=530_x000d_" xfId="1203" xr:uid="{00000000-0005-0000-0000-0000B2040000}"/>
    <cellStyle name="Single Accounting" xfId="1204" xr:uid="{00000000-0005-0000-0000-0000B3040000}"/>
    <cellStyle name="Standard" xfId="1205" xr:uid="{00000000-0005-0000-0000-0000B4040000}"/>
    <cellStyle name="step" xfId="1206" xr:uid="{00000000-0005-0000-0000-0000B5040000}"/>
    <cellStyle name="step 2" xfId="1207" xr:uid="{00000000-0005-0000-0000-0000B6040000}"/>
    <cellStyle name="step 2 2" xfId="1208" xr:uid="{00000000-0005-0000-0000-0000B7040000}"/>
    <cellStyle name="step 2 2 2" xfId="1209" xr:uid="{00000000-0005-0000-0000-0000B8040000}"/>
    <cellStyle name="step 2 2 3" xfId="1210" xr:uid="{00000000-0005-0000-0000-0000B9040000}"/>
    <cellStyle name="step 2 3" xfId="1211" xr:uid="{00000000-0005-0000-0000-0000BA040000}"/>
    <cellStyle name="step 2 4" xfId="1212" xr:uid="{00000000-0005-0000-0000-0000BB040000}"/>
    <cellStyle name="step 3" xfId="1213" xr:uid="{00000000-0005-0000-0000-0000BC040000}"/>
    <cellStyle name="step 3 2" xfId="1214" xr:uid="{00000000-0005-0000-0000-0000BD040000}"/>
    <cellStyle name="step 3 2 2" xfId="1215" xr:uid="{00000000-0005-0000-0000-0000BE040000}"/>
    <cellStyle name="step 3 2 3" xfId="1216" xr:uid="{00000000-0005-0000-0000-0000BF040000}"/>
    <cellStyle name="step 3 3" xfId="1217" xr:uid="{00000000-0005-0000-0000-0000C0040000}"/>
    <cellStyle name="step 3 4" xfId="1218" xr:uid="{00000000-0005-0000-0000-0000C1040000}"/>
    <cellStyle name="step 4" xfId="1219" xr:uid="{00000000-0005-0000-0000-0000C2040000}"/>
    <cellStyle name="step 4 2" xfId="1220" xr:uid="{00000000-0005-0000-0000-0000C3040000}"/>
    <cellStyle name="step 4 3" xfId="1221" xr:uid="{00000000-0005-0000-0000-0000C4040000}"/>
    <cellStyle name="step 5" xfId="1222" xr:uid="{00000000-0005-0000-0000-0000C5040000}"/>
    <cellStyle name="step 6" xfId="1223" xr:uid="{00000000-0005-0000-0000-0000C6040000}"/>
    <cellStyle name="steps_link" xfId="1224" xr:uid="{00000000-0005-0000-0000-0000C7040000}"/>
    <cellStyle name="subhead" xfId="1225" xr:uid="{00000000-0005-0000-0000-0000C8040000}"/>
    <cellStyle name="Subtotal" xfId="1226" xr:uid="{00000000-0005-0000-0000-0000C9040000}"/>
    <cellStyle name="Table Head" xfId="1227" xr:uid="{00000000-0005-0000-0000-0000CA040000}"/>
    <cellStyle name="Table Head Aligned" xfId="1228" xr:uid="{00000000-0005-0000-0000-0000CB040000}"/>
    <cellStyle name="Table Head Blue" xfId="1229" xr:uid="{00000000-0005-0000-0000-0000CC040000}"/>
    <cellStyle name="Table Head Green" xfId="1230" xr:uid="{00000000-0005-0000-0000-0000CD040000}"/>
    <cellStyle name="Table Title" xfId="1231" xr:uid="{00000000-0005-0000-0000-0000CE040000}"/>
    <cellStyle name="Table Units" xfId="1232" xr:uid="{00000000-0005-0000-0000-0000CF040000}"/>
    <cellStyle name="table_head1" xfId="1233" xr:uid="{00000000-0005-0000-0000-0000D0040000}"/>
    <cellStyle name="þ_x001d_ð'&amp;Oy?Hy9_x0008__x000f__x0007_æ_x0007__x0007__x0001__x0001_" xfId="1234" xr:uid="{00000000-0005-0000-0000-0000D1040000}"/>
    <cellStyle name="Tickmark" xfId="1235" xr:uid="{00000000-0005-0000-0000-0000D2040000}"/>
    <cellStyle name="Times 10" xfId="1236" xr:uid="{00000000-0005-0000-0000-0000D3040000}"/>
    <cellStyle name="Times 12" xfId="1237" xr:uid="{00000000-0005-0000-0000-0000D4040000}"/>
    <cellStyle name="Times New Roman" xfId="1238" xr:uid="{00000000-0005-0000-0000-0000D5040000}"/>
    <cellStyle name="title" xfId="1239" xr:uid="{00000000-0005-0000-0000-0000D6040000}"/>
    <cellStyle name="Total" xfId="1240" xr:uid="{00000000-0005-0000-0000-0000D7040000}"/>
    <cellStyle name="Underline_Double" xfId="1241" xr:uid="{00000000-0005-0000-0000-0000D8040000}"/>
    <cellStyle name="Unprotect_Collateral Template" xfId="1242" xr:uid="{00000000-0005-0000-0000-0000D9040000}"/>
    <cellStyle name="W?rung [0]_Aktenbewertung 1994" xfId="1243" xr:uid="{00000000-0005-0000-0000-0000DA040000}"/>
    <cellStyle name="W?rung_Aktenbewertung 1994" xfId="1244" xr:uid="{00000000-0005-0000-0000-0000DB040000}"/>
    <cellStyle name="Warning Text" xfId="1245" xr:uid="{00000000-0005-0000-0000-0000DC040000}"/>
    <cellStyle name="wrap" xfId="1246" xr:uid="{00000000-0005-0000-0000-0000DD040000}"/>
    <cellStyle name="Yen" xfId="1247" xr:uid="{00000000-0005-0000-0000-0000DE040000}"/>
    <cellStyle name="ﾇ･ﾁﾘ_ｱｹｿﾜbal" xfId="1248" xr:uid="{00000000-0005-0000-0000-0000DF040000}"/>
    <cellStyle name="강조색1" xfId="1249" builtinId="29" customBuiltin="1"/>
    <cellStyle name="강조색1 10" xfId="1250" xr:uid="{00000000-0005-0000-0000-0000E1040000}"/>
    <cellStyle name="강조색1 11" xfId="1251" xr:uid="{00000000-0005-0000-0000-0000E2040000}"/>
    <cellStyle name="강조색1 12" xfId="1252" xr:uid="{00000000-0005-0000-0000-0000E3040000}"/>
    <cellStyle name="강조색1 13" xfId="1253" xr:uid="{00000000-0005-0000-0000-0000E4040000}"/>
    <cellStyle name="강조색1 14" xfId="1254" xr:uid="{00000000-0005-0000-0000-0000E5040000}"/>
    <cellStyle name="강조색1 15" xfId="1255" xr:uid="{00000000-0005-0000-0000-0000E6040000}"/>
    <cellStyle name="강조색1 16" xfId="1256" xr:uid="{00000000-0005-0000-0000-0000E7040000}"/>
    <cellStyle name="강조색1 17" xfId="1257" xr:uid="{00000000-0005-0000-0000-0000E8040000}"/>
    <cellStyle name="강조색1 2" xfId="1258" xr:uid="{00000000-0005-0000-0000-0000E9040000}"/>
    <cellStyle name="강조색1 2 2" xfId="1259" xr:uid="{00000000-0005-0000-0000-0000EA040000}"/>
    <cellStyle name="강조색1 3" xfId="1260" xr:uid="{00000000-0005-0000-0000-0000EB040000}"/>
    <cellStyle name="강조색1 3 2" xfId="1261" xr:uid="{00000000-0005-0000-0000-0000EC040000}"/>
    <cellStyle name="강조색1 4" xfId="1262" xr:uid="{00000000-0005-0000-0000-0000ED040000}"/>
    <cellStyle name="강조색1 5" xfId="1263" xr:uid="{00000000-0005-0000-0000-0000EE040000}"/>
    <cellStyle name="강조색1 5 2" xfId="1264" xr:uid="{00000000-0005-0000-0000-0000EF040000}"/>
    <cellStyle name="강조색1 5 3" xfId="1265" xr:uid="{00000000-0005-0000-0000-0000F0040000}"/>
    <cellStyle name="강조색1 6" xfId="1266" xr:uid="{00000000-0005-0000-0000-0000F1040000}"/>
    <cellStyle name="강조색1 6 2" xfId="1267" xr:uid="{00000000-0005-0000-0000-0000F2040000}"/>
    <cellStyle name="강조색1 7" xfId="1268" xr:uid="{00000000-0005-0000-0000-0000F3040000}"/>
    <cellStyle name="강조색1 7 2" xfId="1269" xr:uid="{00000000-0005-0000-0000-0000F4040000}"/>
    <cellStyle name="강조색1 8" xfId="1270" xr:uid="{00000000-0005-0000-0000-0000F5040000}"/>
    <cellStyle name="강조색1 8 2" xfId="1271" xr:uid="{00000000-0005-0000-0000-0000F6040000}"/>
    <cellStyle name="강조색1 9" xfId="1272" xr:uid="{00000000-0005-0000-0000-0000F7040000}"/>
    <cellStyle name="강조색2" xfId="1273" builtinId="33" customBuiltin="1"/>
    <cellStyle name="강조색2 10" xfId="1274" xr:uid="{00000000-0005-0000-0000-0000F9040000}"/>
    <cellStyle name="강조색2 11" xfId="1275" xr:uid="{00000000-0005-0000-0000-0000FA040000}"/>
    <cellStyle name="강조색2 12" xfId="1276" xr:uid="{00000000-0005-0000-0000-0000FB040000}"/>
    <cellStyle name="강조색2 13" xfId="1277" xr:uid="{00000000-0005-0000-0000-0000FC040000}"/>
    <cellStyle name="강조색2 14" xfId="1278" xr:uid="{00000000-0005-0000-0000-0000FD040000}"/>
    <cellStyle name="강조색2 15" xfId="1279" xr:uid="{00000000-0005-0000-0000-0000FE040000}"/>
    <cellStyle name="강조색2 16" xfId="1280" xr:uid="{00000000-0005-0000-0000-0000FF040000}"/>
    <cellStyle name="강조색2 17" xfId="1281" xr:uid="{00000000-0005-0000-0000-000000050000}"/>
    <cellStyle name="강조색2 2" xfId="1282" xr:uid="{00000000-0005-0000-0000-000001050000}"/>
    <cellStyle name="강조색2 2 2" xfId="1283" xr:uid="{00000000-0005-0000-0000-000002050000}"/>
    <cellStyle name="강조색2 3" xfId="1284" xr:uid="{00000000-0005-0000-0000-000003050000}"/>
    <cellStyle name="강조색2 3 2" xfId="1285" xr:uid="{00000000-0005-0000-0000-000004050000}"/>
    <cellStyle name="강조색2 4" xfId="1286" xr:uid="{00000000-0005-0000-0000-000005050000}"/>
    <cellStyle name="강조색2 5" xfId="1287" xr:uid="{00000000-0005-0000-0000-000006050000}"/>
    <cellStyle name="강조색2 5 2" xfId="1288" xr:uid="{00000000-0005-0000-0000-000007050000}"/>
    <cellStyle name="강조색2 5 3" xfId="1289" xr:uid="{00000000-0005-0000-0000-000008050000}"/>
    <cellStyle name="강조색2 6" xfId="1290" xr:uid="{00000000-0005-0000-0000-000009050000}"/>
    <cellStyle name="강조색2 6 2" xfId="1291" xr:uid="{00000000-0005-0000-0000-00000A050000}"/>
    <cellStyle name="강조색2 7" xfId="1292" xr:uid="{00000000-0005-0000-0000-00000B050000}"/>
    <cellStyle name="강조색2 7 2" xfId="1293" xr:uid="{00000000-0005-0000-0000-00000C050000}"/>
    <cellStyle name="강조색2 8" xfId="1294" xr:uid="{00000000-0005-0000-0000-00000D050000}"/>
    <cellStyle name="강조색2 8 2" xfId="1295" xr:uid="{00000000-0005-0000-0000-00000E050000}"/>
    <cellStyle name="강조색2 9" xfId="1296" xr:uid="{00000000-0005-0000-0000-00000F050000}"/>
    <cellStyle name="강조색3" xfId="1297" builtinId="37" customBuiltin="1"/>
    <cellStyle name="강조색3 10" xfId="1298" xr:uid="{00000000-0005-0000-0000-000011050000}"/>
    <cellStyle name="강조색3 11" xfId="1299" xr:uid="{00000000-0005-0000-0000-000012050000}"/>
    <cellStyle name="강조색3 12" xfId="1300" xr:uid="{00000000-0005-0000-0000-000013050000}"/>
    <cellStyle name="강조색3 13" xfId="1301" xr:uid="{00000000-0005-0000-0000-000014050000}"/>
    <cellStyle name="강조색3 14" xfId="1302" xr:uid="{00000000-0005-0000-0000-000015050000}"/>
    <cellStyle name="강조색3 15" xfId="1303" xr:uid="{00000000-0005-0000-0000-000016050000}"/>
    <cellStyle name="강조색3 16" xfId="1304" xr:uid="{00000000-0005-0000-0000-000017050000}"/>
    <cellStyle name="강조색3 17" xfId="1305" xr:uid="{00000000-0005-0000-0000-000018050000}"/>
    <cellStyle name="강조색3 2" xfId="1306" xr:uid="{00000000-0005-0000-0000-000019050000}"/>
    <cellStyle name="강조색3 2 2" xfId="1307" xr:uid="{00000000-0005-0000-0000-00001A050000}"/>
    <cellStyle name="강조색3 3" xfId="1308" xr:uid="{00000000-0005-0000-0000-00001B050000}"/>
    <cellStyle name="강조색3 3 2" xfId="1309" xr:uid="{00000000-0005-0000-0000-00001C050000}"/>
    <cellStyle name="강조색3 4" xfId="1310" xr:uid="{00000000-0005-0000-0000-00001D050000}"/>
    <cellStyle name="강조색3 5" xfId="1311" xr:uid="{00000000-0005-0000-0000-00001E050000}"/>
    <cellStyle name="강조색3 5 2" xfId="1312" xr:uid="{00000000-0005-0000-0000-00001F050000}"/>
    <cellStyle name="강조색3 5 3" xfId="1313" xr:uid="{00000000-0005-0000-0000-000020050000}"/>
    <cellStyle name="강조색3 6" xfId="1314" xr:uid="{00000000-0005-0000-0000-000021050000}"/>
    <cellStyle name="강조색3 6 2" xfId="1315" xr:uid="{00000000-0005-0000-0000-000022050000}"/>
    <cellStyle name="강조색3 7" xfId="1316" xr:uid="{00000000-0005-0000-0000-000023050000}"/>
    <cellStyle name="강조색3 7 2" xfId="1317" xr:uid="{00000000-0005-0000-0000-000024050000}"/>
    <cellStyle name="강조색3 8" xfId="1318" xr:uid="{00000000-0005-0000-0000-000025050000}"/>
    <cellStyle name="강조색3 8 2" xfId="1319" xr:uid="{00000000-0005-0000-0000-000026050000}"/>
    <cellStyle name="강조색3 9" xfId="1320" xr:uid="{00000000-0005-0000-0000-000027050000}"/>
    <cellStyle name="강조색4" xfId="1321" builtinId="41" customBuiltin="1"/>
    <cellStyle name="강조색4 10" xfId="1322" xr:uid="{00000000-0005-0000-0000-000029050000}"/>
    <cellStyle name="강조색4 11" xfId="1323" xr:uid="{00000000-0005-0000-0000-00002A050000}"/>
    <cellStyle name="강조색4 12" xfId="1324" xr:uid="{00000000-0005-0000-0000-00002B050000}"/>
    <cellStyle name="강조색4 13" xfId="1325" xr:uid="{00000000-0005-0000-0000-00002C050000}"/>
    <cellStyle name="강조색4 14" xfId="1326" xr:uid="{00000000-0005-0000-0000-00002D050000}"/>
    <cellStyle name="강조색4 15" xfId="1327" xr:uid="{00000000-0005-0000-0000-00002E050000}"/>
    <cellStyle name="강조색4 16" xfId="1328" xr:uid="{00000000-0005-0000-0000-00002F050000}"/>
    <cellStyle name="강조색4 17" xfId="1329" xr:uid="{00000000-0005-0000-0000-000030050000}"/>
    <cellStyle name="강조색4 2" xfId="1330" xr:uid="{00000000-0005-0000-0000-000031050000}"/>
    <cellStyle name="강조색4 2 2" xfId="1331" xr:uid="{00000000-0005-0000-0000-000032050000}"/>
    <cellStyle name="강조색4 3" xfId="1332" xr:uid="{00000000-0005-0000-0000-000033050000}"/>
    <cellStyle name="강조색4 3 2" xfId="1333" xr:uid="{00000000-0005-0000-0000-000034050000}"/>
    <cellStyle name="강조색4 4" xfId="1334" xr:uid="{00000000-0005-0000-0000-000035050000}"/>
    <cellStyle name="강조색4 5" xfId="1335" xr:uid="{00000000-0005-0000-0000-000036050000}"/>
    <cellStyle name="강조색4 5 2" xfId="1336" xr:uid="{00000000-0005-0000-0000-000037050000}"/>
    <cellStyle name="강조색4 5 3" xfId="1337" xr:uid="{00000000-0005-0000-0000-000038050000}"/>
    <cellStyle name="강조색4 6" xfId="1338" xr:uid="{00000000-0005-0000-0000-000039050000}"/>
    <cellStyle name="강조색4 6 2" xfId="1339" xr:uid="{00000000-0005-0000-0000-00003A050000}"/>
    <cellStyle name="강조색4 7" xfId="1340" xr:uid="{00000000-0005-0000-0000-00003B050000}"/>
    <cellStyle name="강조색4 7 2" xfId="1341" xr:uid="{00000000-0005-0000-0000-00003C050000}"/>
    <cellStyle name="강조색4 8" xfId="1342" xr:uid="{00000000-0005-0000-0000-00003D050000}"/>
    <cellStyle name="강조색4 8 2" xfId="1343" xr:uid="{00000000-0005-0000-0000-00003E050000}"/>
    <cellStyle name="강조색4 9" xfId="1344" xr:uid="{00000000-0005-0000-0000-00003F050000}"/>
    <cellStyle name="강조색5" xfId="1345" builtinId="45" customBuiltin="1"/>
    <cellStyle name="강조색5 10" xfId="1346" xr:uid="{00000000-0005-0000-0000-000041050000}"/>
    <cellStyle name="강조색5 11" xfId="1347" xr:uid="{00000000-0005-0000-0000-000042050000}"/>
    <cellStyle name="강조색5 12" xfId="1348" xr:uid="{00000000-0005-0000-0000-000043050000}"/>
    <cellStyle name="강조색5 13" xfId="1349" xr:uid="{00000000-0005-0000-0000-000044050000}"/>
    <cellStyle name="강조색5 14" xfId="1350" xr:uid="{00000000-0005-0000-0000-000045050000}"/>
    <cellStyle name="강조색5 15" xfId="1351" xr:uid="{00000000-0005-0000-0000-000046050000}"/>
    <cellStyle name="강조색5 16" xfId="1352" xr:uid="{00000000-0005-0000-0000-000047050000}"/>
    <cellStyle name="강조색5 17" xfId="1353" xr:uid="{00000000-0005-0000-0000-000048050000}"/>
    <cellStyle name="강조색5 2" xfId="1354" xr:uid="{00000000-0005-0000-0000-000049050000}"/>
    <cellStyle name="강조색5 2 2" xfId="1355" xr:uid="{00000000-0005-0000-0000-00004A050000}"/>
    <cellStyle name="강조색5 3" xfId="1356" xr:uid="{00000000-0005-0000-0000-00004B050000}"/>
    <cellStyle name="강조색5 3 2" xfId="1357" xr:uid="{00000000-0005-0000-0000-00004C050000}"/>
    <cellStyle name="강조색5 4" xfId="1358" xr:uid="{00000000-0005-0000-0000-00004D050000}"/>
    <cellStyle name="강조색5 5" xfId="1359" xr:uid="{00000000-0005-0000-0000-00004E050000}"/>
    <cellStyle name="강조색5 5 2" xfId="1360" xr:uid="{00000000-0005-0000-0000-00004F050000}"/>
    <cellStyle name="강조색5 5 3" xfId="1361" xr:uid="{00000000-0005-0000-0000-000050050000}"/>
    <cellStyle name="강조색5 6" xfId="1362" xr:uid="{00000000-0005-0000-0000-000051050000}"/>
    <cellStyle name="강조색5 6 2" xfId="1363" xr:uid="{00000000-0005-0000-0000-000052050000}"/>
    <cellStyle name="강조색5 7" xfId="1364" xr:uid="{00000000-0005-0000-0000-000053050000}"/>
    <cellStyle name="강조색5 7 2" xfId="1365" xr:uid="{00000000-0005-0000-0000-000054050000}"/>
    <cellStyle name="강조색5 8" xfId="1366" xr:uid="{00000000-0005-0000-0000-000055050000}"/>
    <cellStyle name="강조색5 8 2" xfId="1367" xr:uid="{00000000-0005-0000-0000-000056050000}"/>
    <cellStyle name="강조색5 9" xfId="1368" xr:uid="{00000000-0005-0000-0000-000057050000}"/>
    <cellStyle name="강조색6" xfId="1369" builtinId="49" customBuiltin="1"/>
    <cellStyle name="강조색6 10" xfId="1370" xr:uid="{00000000-0005-0000-0000-000059050000}"/>
    <cellStyle name="강조색6 11" xfId="1371" xr:uid="{00000000-0005-0000-0000-00005A050000}"/>
    <cellStyle name="강조색6 12" xfId="1372" xr:uid="{00000000-0005-0000-0000-00005B050000}"/>
    <cellStyle name="강조색6 13" xfId="1373" xr:uid="{00000000-0005-0000-0000-00005C050000}"/>
    <cellStyle name="강조색6 14" xfId="1374" xr:uid="{00000000-0005-0000-0000-00005D050000}"/>
    <cellStyle name="강조색6 15" xfId="1375" xr:uid="{00000000-0005-0000-0000-00005E050000}"/>
    <cellStyle name="강조색6 16" xfId="1376" xr:uid="{00000000-0005-0000-0000-00005F050000}"/>
    <cellStyle name="강조색6 17" xfId="1377" xr:uid="{00000000-0005-0000-0000-000060050000}"/>
    <cellStyle name="강조색6 2" xfId="1378" xr:uid="{00000000-0005-0000-0000-000061050000}"/>
    <cellStyle name="강조색6 2 2" xfId="1379" xr:uid="{00000000-0005-0000-0000-000062050000}"/>
    <cellStyle name="강조색6 3" xfId="1380" xr:uid="{00000000-0005-0000-0000-000063050000}"/>
    <cellStyle name="강조색6 3 2" xfId="1381" xr:uid="{00000000-0005-0000-0000-000064050000}"/>
    <cellStyle name="강조색6 4" xfId="1382" xr:uid="{00000000-0005-0000-0000-000065050000}"/>
    <cellStyle name="강조색6 5" xfId="1383" xr:uid="{00000000-0005-0000-0000-000066050000}"/>
    <cellStyle name="강조색6 5 2" xfId="1384" xr:uid="{00000000-0005-0000-0000-000067050000}"/>
    <cellStyle name="강조색6 5 3" xfId="1385" xr:uid="{00000000-0005-0000-0000-000068050000}"/>
    <cellStyle name="강조색6 6" xfId="1386" xr:uid="{00000000-0005-0000-0000-000069050000}"/>
    <cellStyle name="강조색6 6 2" xfId="1387" xr:uid="{00000000-0005-0000-0000-00006A050000}"/>
    <cellStyle name="강조색6 7" xfId="1388" xr:uid="{00000000-0005-0000-0000-00006B050000}"/>
    <cellStyle name="강조색6 7 2" xfId="1389" xr:uid="{00000000-0005-0000-0000-00006C050000}"/>
    <cellStyle name="강조색6 8" xfId="1390" xr:uid="{00000000-0005-0000-0000-00006D050000}"/>
    <cellStyle name="강조색6 8 2" xfId="1391" xr:uid="{00000000-0005-0000-0000-00006E050000}"/>
    <cellStyle name="강조색6 9" xfId="1392" xr:uid="{00000000-0005-0000-0000-00006F050000}"/>
    <cellStyle name="검증" xfId="1393" xr:uid="{00000000-0005-0000-0000-000070050000}"/>
    <cellStyle name="경고문" xfId="1394" builtinId="11" customBuiltin="1"/>
    <cellStyle name="경고문 10" xfId="1395" xr:uid="{00000000-0005-0000-0000-000072050000}"/>
    <cellStyle name="경고문 11" xfId="1396" xr:uid="{00000000-0005-0000-0000-000073050000}"/>
    <cellStyle name="경고문 12" xfId="1397" xr:uid="{00000000-0005-0000-0000-000074050000}"/>
    <cellStyle name="경고문 13" xfId="1398" xr:uid="{00000000-0005-0000-0000-000075050000}"/>
    <cellStyle name="경고문 14" xfId="1399" xr:uid="{00000000-0005-0000-0000-000076050000}"/>
    <cellStyle name="경고문 15" xfId="1400" xr:uid="{00000000-0005-0000-0000-000077050000}"/>
    <cellStyle name="경고문 16" xfId="1401" xr:uid="{00000000-0005-0000-0000-000078050000}"/>
    <cellStyle name="경고문 17" xfId="1402" xr:uid="{00000000-0005-0000-0000-000079050000}"/>
    <cellStyle name="경고문 2" xfId="1403" xr:uid="{00000000-0005-0000-0000-00007A050000}"/>
    <cellStyle name="경고문 2 2" xfId="1404" xr:uid="{00000000-0005-0000-0000-00007B050000}"/>
    <cellStyle name="경고문 3" xfId="1405" xr:uid="{00000000-0005-0000-0000-00007C050000}"/>
    <cellStyle name="경고문 3 2" xfId="1406" xr:uid="{00000000-0005-0000-0000-00007D050000}"/>
    <cellStyle name="경고문 4" xfId="1407" xr:uid="{00000000-0005-0000-0000-00007E050000}"/>
    <cellStyle name="경고문 5" xfId="1408" xr:uid="{00000000-0005-0000-0000-00007F050000}"/>
    <cellStyle name="경고문 5 2" xfId="1409" xr:uid="{00000000-0005-0000-0000-000080050000}"/>
    <cellStyle name="경고문 5 3" xfId="1410" xr:uid="{00000000-0005-0000-0000-000081050000}"/>
    <cellStyle name="경고문 6" xfId="1411" xr:uid="{00000000-0005-0000-0000-000082050000}"/>
    <cellStyle name="경고문 6 2" xfId="1412" xr:uid="{00000000-0005-0000-0000-000083050000}"/>
    <cellStyle name="경고문 7" xfId="1413" xr:uid="{00000000-0005-0000-0000-000084050000}"/>
    <cellStyle name="경고문 7 2" xfId="1414" xr:uid="{00000000-0005-0000-0000-000085050000}"/>
    <cellStyle name="경고문 8" xfId="1415" xr:uid="{00000000-0005-0000-0000-000086050000}"/>
    <cellStyle name="경고문 8 2" xfId="1416" xr:uid="{00000000-0005-0000-0000-000087050000}"/>
    <cellStyle name="경고문 9" xfId="1417" xr:uid="{00000000-0005-0000-0000-000088050000}"/>
    <cellStyle name="계산" xfId="1418" builtinId="22" customBuiltin="1"/>
    <cellStyle name="계산 10" xfId="1419" xr:uid="{00000000-0005-0000-0000-00008A050000}"/>
    <cellStyle name="계산 11" xfId="1420" xr:uid="{00000000-0005-0000-0000-00008B050000}"/>
    <cellStyle name="계산 12" xfId="1421" xr:uid="{00000000-0005-0000-0000-00008C050000}"/>
    <cellStyle name="계산 13" xfId="1422" xr:uid="{00000000-0005-0000-0000-00008D050000}"/>
    <cellStyle name="계산 14" xfId="1423" xr:uid="{00000000-0005-0000-0000-00008E050000}"/>
    <cellStyle name="계산 15" xfId="1424" xr:uid="{00000000-0005-0000-0000-00008F050000}"/>
    <cellStyle name="계산 15 2" xfId="1425" xr:uid="{00000000-0005-0000-0000-000090050000}"/>
    <cellStyle name="계산 15 3" xfId="1426" xr:uid="{00000000-0005-0000-0000-000091050000}"/>
    <cellStyle name="계산 16" xfId="1427" xr:uid="{00000000-0005-0000-0000-000092050000}"/>
    <cellStyle name="계산 16 2" xfId="1428" xr:uid="{00000000-0005-0000-0000-000093050000}"/>
    <cellStyle name="계산 16 3" xfId="1429" xr:uid="{00000000-0005-0000-0000-000094050000}"/>
    <cellStyle name="계산 17" xfId="1430" xr:uid="{00000000-0005-0000-0000-000095050000}"/>
    <cellStyle name="계산 2" xfId="1431" xr:uid="{00000000-0005-0000-0000-000096050000}"/>
    <cellStyle name="계산 2 2" xfId="1432" xr:uid="{00000000-0005-0000-0000-000097050000}"/>
    <cellStyle name="계산 3" xfId="1433" xr:uid="{00000000-0005-0000-0000-000098050000}"/>
    <cellStyle name="계산 3 2" xfId="1434" xr:uid="{00000000-0005-0000-0000-000099050000}"/>
    <cellStyle name="계산 4" xfId="1435" xr:uid="{00000000-0005-0000-0000-00009A050000}"/>
    <cellStyle name="계산 5" xfId="1436" xr:uid="{00000000-0005-0000-0000-00009B050000}"/>
    <cellStyle name="계산 5 2" xfId="1437" xr:uid="{00000000-0005-0000-0000-00009C050000}"/>
    <cellStyle name="계산 5 3" xfId="1438" xr:uid="{00000000-0005-0000-0000-00009D050000}"/>
    <cellStyle name="계산 6" xfId="1439" xr:uid="{00000000-0005-0000-0000-00009E050000}"/>
    <cellStyle name="계산 6 2" xfId="1440" xr:uid="{00000000-0005-0000-0000-00009F050000}"/>
    <cellStyle name="계산 7" xfId="1441" xr:uid="{00000000-0005-0000-0000-0000A0050000}"/>
    <cellStyle name="계산 7 2" xfId="1442" xr:uid="{00000000-0005-0000-0000-0000A1050000}"/>
    <cellStyle name="계산 8" xfId="1443" xr:uid="{00000000-0005-0000-0000-0000A2050000}"/>
    <cellStyle name="계산 8 2" xfId="1444" xr:uid="{00000000-0005-0000-0000-0000A3050000}"/>
    <cellStyle name="계산 9" xfId="1445" xr:uid="{00000000-0005-0000-0000-0000A4050000}"/>
    <cellStyle name="고정소숫점" xfId="1446" xr:uid="{00000000-0005-0000-0000-0000A5050000}"/>
    <cellStyle name="고정출력1" xfId="1447" xr:uid="{00000000-0005-0000-0000-0000A6050000}"/>
    <cellStyle name="고정출력2" xfId="1448" xr:uid="{00000000-0005-0000-0000-0000A7050000}"/>
    <cellStyle name="과립" xfId="1449" xr:uid="{00000000-0005-0000-0000-0000A8050000}"/>
    <cellStyle name="咬訌裝?INCOM1" xfId="1450" xr:uid="{00000000-0005-0000-0000-0000A9050000}"/>
    <cellStyle name="咬訌裝?INCOM10" xfId="1451" xr:uid="{00000000-0005-0000-0000-0000AA050000}"/>
    <cellStyle name="咬訌裝?INCOM2" xfId="1452" xr:uid="{00000000-0005-0000-0000-0000AB050000}"/>
    <cellStyle name="咬訌裝?INCOM3" xfId="1453" xr:uid="{00000000-0005-0000-0000-0000AC050000}"/>
    <cellStyle name="咬訌裝?INCOM4" xfId="1454" xr:uid="{00000000-0005-0000-0000-0000AD050000}"/>
    <cellStyle name="咬訌裝?INCOM5" xfId="1455" xr:uid="{00000000-0005-0000-0000-0000AE050000}"/>
    <cellStyle name="咬訌裝?INCOM6" xfId="1456" xr:uid="{00000000-0005-0000-0000-0000AF050000}"/>
    <cellStyle name="咬訌裝?INCOM7" xfId="1457" xr:uid="{00000000-0005-0000-0000-0000B0050000}"/>
    <cellStyle name="咬訌裝?INCOM8" xfId="1458" xr:uid="{00000000-0005-0000-0000-0000B1050000}"/>
    <cellStyle name="咬訌裝?INCOM9" xfId="1459" xr:uid="{00000000-0005-0000-0000-0000B2050000}"/>
    <cellStyle name="咬訌裝?PRIB11" xfId="1460" xr:uid="{00000000-0005-0000-0000-0000B3050000}"/>
    <cellStyle name="咬訌裝?report-2 " xfId="1461" xr:uid="{00000000-0005-0000-0000-0000B4050000}"/>
    <cellStyle name="금액" xfId="1462" xr:uid="{00000000-0005-0000-0000-0000B5050000}"/>
    <cellStyle name="금액 2" xfId="1463" xr:uid="{00000000-0005-0000-0000-0000B6050000}"/>
    <cellStyle name="금액 2 2" xfId="1464" xr:uid="{00000000-0005-0000-0000-0000B7050000}"/>
    <cellStyle name="금액 2 2 2" xfId="1465" xr:uid="{00000000-0005-0000-0000-0000B8050000}"/>
    <cellStyle name="금액 2 2 3" xfId="1466" xr:uid="{00000000-0005-0000-0000-0000B9050000}"/>
    <cellStyle name="금액 2 3" xfId="1467" xr:uid="{00000000-0005-0000-0000-0000BA050000}"/>
    <cellStyle name="금액 2 4" xfId="1468" xr:uid="{00000000-0005-0000-0000-0000BB050000}"/>
    <cellStyle name="금액 3" xfId="1469" xr:uid="{00000000-0005-0000-0000-0000BC050000}"/>
    <cellStyle name="금액 3 2" xfId="1470" xr:uid="{00000000-0005-0000-0000-0000BD050000}"/>
    <cellStyle name="금액 3 2 2" xfId="1471" xr:uid="{00000000-0005-0000-0000-0000BE050000}"/>
    <cellStyle name="금액 3 2 2 2" xfId="1472" xr:uid="{00000000-0005-0000-0000-0000BF050000}"/>
    <cellStyle name="금액 3 2 2 3" xfId="1473" xr:uid="{00000000-0005-0000-0000-0000C0050000}"/>
    <cellStyle name="금액 3 2 3" xfId="1474" xr:uid="{00000000-0005-0000-0000-0000C1050000}"/>
    <cellStyle name="금액 3 2 4" xfId="1475" xr:uid="{00000000-0005-0000-0000-0000C2050000}"/>
    <cellStyle name="금액 3 3" xfId="1476" xr:uid="{00000000-0005-0000-0000-0000C3050000}"/>
    <cellStyle name="금액 3 3 2" xfId="1477" xr:uid="{00000000-0005-0000-0000-0000C4050000}"/>
    <cellStyle name="금액 3 3 2 2" xfId="1478" xr:uid="{00000000-0005-0000-0000-0000C5050000}"/>
    <cellStyle name="금액 3 3 2 3" xfId="1479" xr:uid="{00000000-0005-0000-0000-0000C6050000}"/>
    <cellStyle name="금액 3 3 3" xfId="1480" xr:uid="{00000000-0005-0000-0000-0000C7050000}"/>
    <cellStyle name="금액 3 3 4" xfId="1481" xr:uid="{00000000-0005-0000-0000-0000C8050000}"/>
    <cellStyle name="금액 3 4" xfId="1482" xr:uid="{00000000-0005-0000-0000-0000C9050000}"/>
    <cellStyle name="금액 3 4 2" xfId="1483" xr:uid="{00000000-0005-0000-0000-0000CA050000}"/>
    <cellStyle name="금액 3 4 3" xfId="1484" xr:uid="{00000000-0005-0000-0000-0000CB050000}"/>
    <cellStyle name="금액 3 5" xfId="1485" xr:uid="{00000000-0005-0000-0000-0000CC050000}"/>
    <cellStyle name="금액 3 6" xfId="1486" xr:uid="{00000000-0005-0000-0000-0000CD050000}"/>
    <cellStyle name="금액 4" xfId="1487" xr:uid="{00000000-0005-0000-0000-0000CE050000}"/>
    <cellStyle name="금액 4 2" xfId="1488" xr:uid="{00000000-0005-0000-0000-0000CF050000}"/>
    <cellStyle name="금액 4 2 2" xfId="1489" xr:uid="{00000000-0005-0000-0000-0000D0050000}"/>
    <cellStyle name="금액 4 2 3" xfId="1490" xr:uid="{00000000-0005-0000-0000-0000D1050000}"/>
    <cellStyle name="금액 4 3" xfId="1491" xr:uid="{00000000-0005-0000-0000-0000D2050000}"/>
    <cellStyle name="금액 4 4" xfId="1492" xr:uid="{00000000-0005-0000-0000-0000D3050000}"/>
    <cellStyle name="금액 5" xfId="1493" xr:uid="{00000000-0005-0000-0000-0000D4050000}"/>
    <cellStyle name="금액 5 2" xfId="1494" xr:uid="{00000000-0005-0000-0000-0000D5050000}"/>
    <cellStyle name="금액 5 2 2" xfId="1495" xr:uid="{00000000-0005-0000-0000-0000D6050000}"/>
    <cellStyle name="금액 5 2 3" xfId="1496" xr:uid="{00000000-0005-0000-0000-0000D7050000}"/>
    <cellStyle name="금액 5 3" xfId="1497" xr:uid="{00000000-0005-0000-0000-0000D8050000}"/>
    <cellStyle name="금액 5 4" xfId="1498" xr:uid="{00000000-0005-0000-0000-0000D9050000}"/>
    <cellStyle name="금액 6" xfId="1499" xr:uid="{00000000-0005-0000-0000-0000DA050000}"/>
    <cellStyle name="금액 6 2" xfId="1500" xr:uid="{00000000-0005-0000-0000-0000DB050000}"/>
    <cellStyle name="금액 6 3" xfId="1501" xr:uid="{00000000-0005-0000-0000-0000DC050000}"/>
    <cellStyle name="금액 7" xfId="1502" xr:uid="{00000000-0005-0000-0000-0000DD050000}"/>
    <cellStyle name="금액 8" xfId="1503" xr:uid="{00000000-0005-0000-0000-0000DE050000}"/>
    <cellStyle name="기  업" xfId="1504" xr:uid="{00000000-0005-0000-0000-0000DF050000}"/>
    <cellStyle name="기  업 2" xfId="1505" xr:uid="{00000000-0005-0000-0000-0000E0050000}"/>
    <cellStyle name="기  업 3" xfId="1506" xr:uid="{00000000-0005-0000-0000-0000E1050000}"/>
    <cellStyle name="나쁨" xfId="1507" builtinId="27" customBuiltin="1"/>
    <cellStyle name="나쁨 10" xfId="1508" xr:uid="{00000000-0005-0000-0000-0000E3050000}"/>
    <cellStyle name="나쁨 11" xfId="1509" xr:uid="{00000000-0005-0000-0000-0000E4050000}"/>
    <cellStyle name="나쁨 12" xfId="1510" xr:uid="{00000000-0005-0000-0000-0000E5050000}"/>
    <cellStyle name="나쁨 13" xfId="1511" xr:uid="{00000000-0005-0000-0000-0000E6050000}"/>
    <cellStyle name="나쁨 14" xfId="1512" xr:uid="{00000000-0005-0000-0000-0000E7050000}"/>
    <cellStyle name="나쁨 15" xfId="1513" xr:uid="{00000000-0005-0000-0000-0000E8050000}"/>
    <cellStyle name="나쁨 16" xfId="1514" xr:uid="{00000000-0005-0000-0000-0000E9050000}"/>
    <cellStyle name="나쁨 17" xfId="1515" xr:uid="{00000000-0005-0000-0000-0000EA050000}"/>
    <cellStyle name="나쁨 2" xfId="1516" xr:uid="{00000000-0005-0000-0000-0000EB050000}"/>
    <cellStyle name="나쁨 2 2" xfId="1517" xr:uid="{00000000-0005-0000-0000-0000EC050000}"/>
    <cellStyle name="나쁨 3" xfId="1518" xr:uid="{00000000-0005-0000-0000-0000ED050000}"/>
    <cellStyle name="나쁨 3 2" xfId="1519" xr:uid="{00000000-0005-0000-0000-0000EE050000}"/>
    <cellStyle name="나쁨 4" xfId="1520" xr:uid="{00000000-0005-0000-0000-0000EF050000}"/>
    <cellStyle name="나쁨 5" xfId="1521" xr:uid="{00000000-0005-0000-0000-0000F0050000}"/>
    <cellStyle name="나쁨 5 2" xfId="1522" xr:uid="{00000000-0005-0000-0000-0000F1050000}"/>
    <cellStyle name="나쁨 5 3" xfId="1523" xr:uid="{00000000-0005-0000-0000-0000F2050000}"/>
    <cellStyle name="나쁨 6" xfId="1524" xr:uid="{00000000-0005-0000-0000-0000F3050000}"/>
    <cellStyle name="나쁨 6 2" xfId="1525" xr:uid="{00000000-0005-0000-0000-0000F4050000}"/>
    <cellStyle name="나쁨 7" xfId="1526" xr:uid="{00000000-0005-0000-0000-0000F5050000}"/>
    <cellStyle name="나쁨 7 2" xfId="1527" xr:uid="{00000000-0005-0000-0000-0000F6050000}"/>
    <cellStyle name="나쁨 8" xfId="1528" xr:uid="{00000000-0005-0000-0000-0000F7050000}"/>
    <cellStyle name="나쁨 8 2" xfId="1529" xr:uid="{00000000-0005-0000-0000-0000F8050000}"/>
    <cellStyle name="나쁨 9" xfId="1530" xr:uid="{00000000-0005-0000-0000-0000F9050000}"/>
    <cellStyle name="날짜" xfId="1531" xr:uid="{00000000-0005-0000-0000-0000FA050000}"/>
    <cellStyle name="년도" xfId="1532" xr:uid="{00000000-0005-0000-0000-0000FB050000}"/>
    <cellStyle name="년도 2" xfId="1533" xr:uid="{00000000-0005-0000-0000-0000FC050000}"/>
    <cellStyle name="년도 2 2" xfId="1534" xr:uid="{00000000-0005-0000-0000-0000FD050000}"/>
    <cellStyle name="년도 2 2 2" xfId="1535" xr:uid="{00000000-0005-0000-0000-0000FE050000}"/>
    <cellStyle name="년도 2 2 3" xfId="1536" xr:uid="{00000000-0005-0000-0000-0000FF050000}"/>
    <cellStyle name="년도 2 3" xfId="1537" xr:uid="{00000000-0005-0000-0000-000000060000}"/>
    <cellStyle name="년도 2 4" xfId="1538" xr:uid="{00000000-0005-0000-0000-000001060000}"/>
    <cellStyle name="년도 3" xfId="1539" xr:uid="{00000000-0005-0000-0000-000002060000}"/>
    <cellStyle name="년도 3 2" xfId="1540" xr:uid="{00000000-0005-0000-0000-000003060000}"/>
    <cellStyle name="년도 3 2 2" xfId="1541" xr:uid="{00000000-0005-0000-0000-000004060000}"/>
    <cellStyle name="년도 3 2 2 2" xfId="1542" xr:uid="{00000000-0005-0000-0000-000005060000}"/>
    <cellStyle name="년도 3 2 2 3" xfId="1543" xr:uid="{00000000-0005-0000-0000-000006060000}"/>
    <cellStyle name="년도 3 2 3" xfId="1544" xr:uid="{00000000-0005-0000-0000-000007060000}"/>
    <cellStyle name="년도 3 2 4" xfId="1545" xr:uid="{00000000-0005-0000-0000-000008060000}"/>
    <cellStyle name="년도 3 3" xfId="1546" xr:uid="{00000000-0005-0000-0000-000009060000}"/>
    <cellStyle name="년도 3 3 2" xfId="1547" xr:uid="{00000000-0005-0000-0000-00000A060000}"/>
    <cellStyle name="년도 3 3 2 2" xfId="1548" xr:uid="{00000000-0005-0000-0000-00000B060000}"/>
    <cellStyle name="년도 3 3 2 3" xfId="1549" xr:uid="{00000000-0005-0000-0000-00000C060000}"/>
    <cellStyle name="년도 3 3 3" xfId="1550" xr:uid="{00000000-0005-0000-0000-00000D060000}"/>
    <cellStyle name="년도 3 3 4" xfId="1551" xr:uid="{00000000-0005-0000-0000-00000E060000}"/>
    <cellStyle name="년도 3 4" xfId="1552" xr:uid="{00000000-0005-0000-0000-00000F060000}"/>
    <cellStyle name="년도 3 4 2" xfId="1553" xr:uid="{00000000-0005-0000-0000-000010060000}"/>
    <cellStyle name="년도 3 4 3" xfId="1554" xr:uid="{00000000-0005-0000-0000-000011060000}"/>
    <cellStyle name="년도 3 5" xfId="1555" xr:uid="{00000000-0005-0000-0000-000012060000}"/>
    <cellStyle name="년도 3 6" xfId="1556" xr:uid="{00000000-0005-0000-0000-000013060000}"/>
    <cellStyle name="년도 4" xfId="1557" xr:uid="{00000000-0005-0000-0000-000014060000}"/>
    <cellStyle name="년도 4 2" xfId="1558" xr:uid="{00000000-0005-0000-0000-000015060000}"/>
    <cellStyle name="년도 4 2 2" xfId="1559" xr:uid="{00000000-0005-0000-0000-000016060000}"/>
    <cellStyle name="년도 4 2 3" xfId="1560" xr:uid="{00000000-0005-0000-0000-000017060000}"/>
    <cellStyle name="년도 4 3" xfId="1561" xr:uid="{00000000-0005-0000-0000-000018060000}"/>
    <cellStyle name="년도 4 4" xfId="1562" xr:uid="{00000000-0005-0000-0000-000019060000}"/>
    <cellStyle name="년도 5" xfId="1563" xr:uid="{00000000-0005-0000-0000-00001A060000}"/>
    <cellStyle name="년도 5 2" xfId="1564" xr:uid="{00000000-0005-0000-0000-00001B060000}"/>
    <cellStyle name="년도 5 2 2" xfId="1565" xr:uid="{00000000-0005-0000-0000-00001C060000}"/>
    <cellStyle name="년도 5 2 3" xfId="1566" xr:uid="{00000000-0005-0000-0000-00001D060000}"/>
    <cellStyle name="년도 5 3" xfId="1567" xr:uid="{00000000-0005-0000-0000-00001E060000}"/>
    <cellStyle name="년도 5 4" xfId="1568" xr:uid="{00000000-0005-0000-0000-00001F060000}"/>
    <cellStyle name="년도 6" xfId="1569" xr:uid="{00000000-0005-0000-0000-000020060000}"/>
    <cellStyle name="년도 6 2" xfId="1570" xr:uid="{00000000-0005-0000-0000-000021060000}"/>
    <cellStyle name="년도 6 3" xfId="1571" xr:uid="{00000000-0005-0000-0000-000022060000}"/>
    <cellStyle name="년도 7" xfId="1572" xr:uid="{00000000-0005-0000-0000-000023060000}"/>
    <cellStyle name="년도 8" xfId="1573" xr:uid="{00000000-0005-0000-0000-000024060000}"/>
    <cellStyle name="달러" xfId="1574" xr:uid="{00000000-0005-0000-0000-000025060000}"/>
    <cellStyle name="뒤에 오는 하이퍼링크" xfId="1575" xr:uid="{00000000-0005-0000-0000-000026060000}"/>
    <cellStyle name="들여쓰기1" xfId="1576" xr:uid="{00000000-0005-0000-0000-000027060000}"/>
    <cellStyle name="들여쓰기1 2" xfId="1577" xr:uid="{00000000-0005-0000-0000-000028060000}"/>
    <cellStyle name="똿떓죶ø? [0.00" xfId="1578" xr:uid="{00000000-0005-0000-0000-000029060000}"/>
    <cellStyle name="똿떓죶ø?_produ" xfId="1579" xr:uid="{00000000-0005-0000-0000-00002A060000}"/>
    <cellStyle name="똿뗦먛귟 [0.00]_PRODUCT DETAIL Q1" xfId="1580" xr:uid="{00000000-0005-0000-0000-00002B060000}"/>
    <cellStyle name="똿뗦먛귟_PRODUCT DETAIL Q1" xfId="1581" xr:uid="{00000000-0005-0000-0000-00002C060000}"/>
    <cellStyle name="메모 10" xfId="1582" xr:uid="{00000000-0005-0000-0000-00002D060000}"/>
    <cellStyle name="메모 10 2" xfId="1583" xr:uid="{00000000-0005-0000-0000-00002E060000}"/>
    <cellStyle name="메모 11" xfId="1584" xr:uid="{00000000-0005-0000-0000-00002F060000}"/>
    <cellStyle name="메모 11 2" xfId="1585" xr:uid="{00000000-0005-0000-0000-000030060000}"/>
    <cellStyle name="메모 12" xfId="1586" xr:uid="{00000000-0005-0000-0000-000031060000}"/>
    <cellStyle name="메모 12 2" xfId="1587" xr:uid="{00000000-0005-0000-0000-000032060000}"/>
    <cellStyle name="메모 13" xfId="1588" xr:uid="{00000000-0005-0000-0000-000033060000}"/>
    <cellStyle name="메모 13 2" xfId="1589" xr:uid="{00000000-0005-0000-0000-000034060000}"/>
    <cellStyle name="메모 14" xfId="1590" xr:uid="{00000000-0005-0000-0000-000035060000}"/>
    <cellStyle name="메모 14 2" xfId="1591" xr:uid="{00000000-0005-0000-0000-000036060000}"/>
    <cellStyle name="메모 15" xfId="1592" xr:uid="{00000000-0005-0000-0000-000037060000}"/>
    <cellStyle name="메모 15 2" xfId="1593" xr:uid="{00000000-0005-0000-0000-000038060000}"/>
    <cellStyle name="메모 16" xfId="1594" xr:uid="{00000000-0005-0000-0000-000039060000}"/>
    <cellStyle name="메모 16 2" xfId="1595" xr:uid="{00000000-0005-0000-0000-00003A060000}"/>
    <cellStyle name="메모 16 3" xfId="1596" xr:uid="{00000000-0005-0000-0000-00003B060000}"/>
    <cellStyle name="메모 17" xfId="1597" xr:uid="{00000000-0005-0000-0000-00003C060000}"/>
    <cellStyle name="메모 17 2" xfId="1598" xr:uid="{00000000-0005-0000-0000-00003D060000}"/>
    <cellStyle name="메모 17 3" xfId="1599" xr:uid="{00000000-0005-0000-0000-00003E060000}"/>
    <cellStyle name="메모 18" xfId="1600" xr:uid="{00000000-0005-0000-0000-00003F060000}"/>
    <cellStyle name="메모 18 2" xfId="1601" xr:uid="{00000000-0005-0000-0000-000040060000}"/>
    <cellStyle name="메모 2" xfId="1602" xr:uid="{00000000-0005-0000-0000-000041060000}"/>
    <cellStyle name="메모 2 2" xfId="1603" xr:uid="{00000000-0005-0000-0000-000042060000}"/>
    <cellStyle name="메모 2 2 2" xfId="1604" xr:uid="{00000000-0005-0000-0000-000043060000}"/>
    <cellStyle name="메모 2 3" xfId="1605" xr:uid="{00000000-0005-0000-0000-000044060000}"/>
    <cellStyle name="메모 2 3 2" xfId="1606" xr:uid="{00000000-0005-0000-0000-000045060000}"/>
    <cellStyle name="메모 2 4" xfId="1607" xr:uid="{00000000-0005-0000-0000-000046060000}"/>
    <cellStyle name="메모 2 5" xfId="1608" xr:uid="{00000000-0005-0000-0000-000047060000}"/>
    <cellStyle name="메모 2 5 2" xfId="1609" xr:uid="{00000000-0005-0000-0000-000048060000}"/>
    <cellStyle name="메모 2 6" xfId="1610" xr:uid="{00000000-0005-0000-0000-000049060000}"/>
    <cellStyle name="메모 2 6 2" xfId="1611" xr:uid="{00000000-0005-0000-0000-00004A060000}"/>
    <cellStyle name="메모 2 7" xfId="1612" xr:uid="{00000000-0005-0000-0000-00004B060000}"/>
    <cellStyle name="메모 2 7 2" xfId="1613" xr:uid="{00000000-0005-0000-0000-00004C060000}"/>
    <cellStyle name="메모 2 7 2 2" xfId="1614" xr:uid="{00000000-0005-0000-0000-00004D060000}"/>
    <cellStyle name="메모 2 7 3" xfId="1615" xr:uid="{00000000-0005-0000-0000-00004E060000}"/>
    <cellStyle name="메모 2 7 3 2" xfId="1616" xr:uid="{00000000-0005-0000-0000-00004F060000}"/>
    <cellStyle name="메모 2 7 4" xfId="1617" xr:uid="{00000000-0005-0000-0000-000050060000}"/>
    <cellStyle name="메모 2 7 4 2" xfId="1618" xr:uid="{00000000-0005-0000-0000-000051060000}"/>
    <cellStyle name="메모 2 7 5" xfId="1619" xr:uid="{00000000-0005-0000-0000-000052060000}"/>
    <cellStyle name="메모 2 8" xfId="1620" xr:uid="{00000000-0005-0000-0000-000053060000}"/>
    <cellStyle name="메모 2 9" xfId="1621" xr:uid="{00000000-0005-0000-0000-000054060000}"/>
    <cellStyle name="메모 2 9 2" xfId="1622" xr:uid="{00000000-0005-0000-0000-000055060000}"/>
    <cellStyle name="메모 3" xfId="1623" xr:uid="{00000000-0005-0000-0000-000056060000}"/>
    <cellStyle name="메모 3 2" xfId="1624" xr:uid="{00000000-0005-0000-0000-000057060000}"/>
    <cellStyle name="메모 3 3" xfId="1625" xr:uid="{00000000-0005-0000-0000-000058060000}"/>
    <cellStyle name="메모 3 3 2" xfId="1626" xr:uid="{00000000-0005-0000-0000-000059060000}"/>
    <cellStyle name="메모 3 4" xfId="1627" xr:uid="{00000000-0005-0000-0000-00005A060000}"/>
    <cellStyle name="메모 3 4 2" xfId="1628" xr:uid="{00000000-0005-0000-0000-00005B060000}"/>
    <cellStyle name="메모 3 5" xfId="1629" xr:uid="{00000000-0005-0000-0000-00005C060000}"/>
    <cellStyle name="메모 4" xfId="1630" xr:uid="{00000000-0005-0000-0000-00005D060000}"/>
    <cellStyle name="메모 4 2" xfId="1631" xr:uid="{00000000-0005-0000-0000-00005E060000}"/>
    <cellStyle name="메모 4 2 2" xfId="1632" xr:uid="{00000000-0005-0000-0000-00005F060000}"/>
    <cellStyle name="메모 4 3" xfId="1633" xr:uid="{00000000-0005-0000-0000-000060060000}"/>
    <cellStyle name="메모 4 4" xfId="1634" xr:uid="{00000000-0005-0000-0000-000061060000}"/>
    <cellStyle name="메모 4 4 2" xfId="1635" xr:uid="{00000000-0005-0000-0000-000062060000}"/>
    <cellStyle name="메모 4 5" xfId="1636" xr:uid="{00000000-0005-0000-0000-000063060000}"/>
    <cellStyle name="메모 4 5 2" xfId="1637" xr:uid="{00000000-0005-0000-0000-000064060000}"/>
    <cellStyle name="메모 4 6" xfId="1638" xr:uid="{00000000-0005-0000-0000-000065060000}"/>
    <cellStyle name="메모 5" xfId="1639" xr:uid="{00000000-0005-0000-0000-000066060000}"/>
    <cellStyle name="메모 5 2" xfId="1640" xr:uid="{00000000-0005-0000-0000-000067060000}"/>
    <cellStyle name="메모 5 3" xfId="1641" xr:uid="{00000000-0005-0000-0000-000068060000}"/>
    <cellStyle name="메모 5 3 2" xfId="1642" xr:uid="{00000000-0005-0000-0000-000069060000}"/>
    <cellStyle name="메모 5 4" xfId="1643" xr:uid="{00000000-0005-0000-0000-00006A060000}"/>
    <cellStyle name="메모 5 4 2" xfId="1644" xr:uid="{00000000-0005-0000-0000-00006B060000}"/>
    <cellStyle name="메모 5 5" xfId="1645" xr:uid="{00000000-0005-0000-0000-00006C060000}"/>
    <cellStyle name="메모 6" xfId="1646" xr:uid="{00000000-0005-0000-0000-00006D060000}"/>
    <cellStyle name="메모 6 2" xfId="1647" xr:uid="{00000000-0005-0000-0000-00006E060000}"/>
    <cellStyle name="메모 6 2 2" xfId="1648" xr:uid="{00000000-0005-0000-0000-00006F060000}"/>
    <cellStyle name="메모 6 3" xfId="1649" xr:uid="{00000000-0005-0000-0000-000070060000}"/>
    <cellStyle name="메모 6 4" xfId="1650" xr:uid="{00000000-0005-0000-0000-000071060000}"/>
    <cellStyle name="메모 7" xfId="1651" xr:uid="{00000000-0005-0000-0000-000072060000}"/>
    <cellStyle name="메모 7 2" xfId="1652" xr:uid="{00000000-0005-0000-0000-000073060000}"/>
    <cellStyle name="메모 7 3" xfId="1653" xr:uid="{00000000-0005-0000-0000-000074060000}"/>
    <cellStyle name="메모 7 4" xfId="1654" xr:uid="{00000000-0005-0000-0000-000075060000}"/>
    <cellStyle name="메모 8" xfId="1655" xr:uid="{00000000-0005-0000-0000-000076060000}"/>
    <cellStyle name="메모 8 2" xfId="1656" xr:uid="{00000000-0005-0000-0000-000077060000}"/>
    <cellStyle name="메모 8 2 2" xfId="1657" xr:uid="{00000000-0005-0000-0000-000078060000}"/>
    <cellStyle name="메모 8 3" xfId="1658" xr:uid="{00000000-0005-0000-0000-000079060000}"/>
    <cellStyle name="메모 9" xfId="1659" xr:uid="{00000000-0005-0000-0000-00007A060000}"/>
    <cellStyle name="메모 9 2" xfId="1660" xr:uid="{00000000-0005-0000-0000-00007B060000}"/>
    <cellStyle name="메모 9 2 2" xfId="1661" xr:uid="{00000000-0005-0000-0000-00007C060000}"/>
    <cellStyle name="메모 9 3" xfId="1662" xr:uid="{00000000-0005-0000-0000-00007D060000}"/>
    <cellStyle name="메시지" xfId="1663" xr:uid="{00000000-0005-0000-0000-00007E060000}"/>
    <cellStyle name="문자열" xfId="1664" xr:uid="{00000000-0005-0000-0000-00007F060000}"/>
    <cellStyle name="믅됞 [0.00]_PRODUCT DETAIL Q1" xfId="1665" xr:uid="{00000000-0005-0000-0000-000080060000}"/>
    <cellStyle name="믅됞_PRODUCT DETAIL Q1" xfId="1666" xr:uid="{00000000-0005-0000-0000-000081060000}"/>
    <cellStyle name="未定義" xfId="1667" xr:uid="{00000000-0005-0000-0000-000082060000}"/>
    <cellStyle name="바이알" xfId="1668" xr:uid="{00000000-0005-0000-0000-000083060000}"/>
    <cellStyle name="백ᵤ " xfId="1669" xr:uid="{00000000-0005-0000-0000-000084060000}"/>
    <cellStyle name="백분율 10" xfId="1670" xr:uid="{00000000-0005-0000-0000-000085060000}"/>
    <cellStyle name="백분율 2" xfId="1671" xr:uid="{00000000-0005-0000-0000-000086060000}"/>
    <cellStyle name="백분율 2 2" xfId="1672" xr:uid="{00000000-0005-0000-0000-000087060000}"/>
    <cellStyle name="백분율 2 2 2" xfId="1673" xr:uid="{00000000-0005-0000-0000-000088060000}"/>
    <cellStyle name="백분율 2 2 2 2" xfId="1674" xr:uid="{00000000-0005-0000-0000-000089060000}"/>
    <cellStyle name="백분율 2 2 2 2 2" xfId="1675" xr:uid="{00000000-0005-0000-0000-00008A060000}"/>
    <cellStyle name="백분율 2 3" xfId="1676" xr:uid="{00000000-0005-0000-0000-00008B060000}"/>
    <cellStyle name="백분율 2 3 2" xfId="1677" xr:uid="{00000000-0005-0000-0000-00008C060000}"/>
    <cellStyle name="백분율 2 4" xfId="1678" xr:uid="{00000000-0005-0000-0000-00008D060000}"/>
    <cellStyle name="백분율 2_금호" xfId="1679" xr:uid="{00000000-0005-0000-0000-00008E060000}"/>
    <cellStyle name="백분율 3" xfId="1680" xr:uid="{00000000-0005-0000-0000-00008F060000}"/>
    <cellStyle name="백분율 3 2" xfId="1681" xr:uid="{00000000-0005-0000-0000-000090060000}"/>
    <cellStyle name="백분율 3 2 2" xfId="1682" xr:uid="{00000000-0005-0000-0000-000091060000}"/>
    <cellStyle name="백분율 3 3" xfId="1683" xr:uid="{00000000-0005-0000-0000-000092060000}"/>
    <cellStyle name="백분율 4" xfId="1684" xr:uid="{00000000-0005-0000-0000-000093060000}"/>
    <cellStyle name="백분율 4 2" xfId="1685" xr:uid="{00000000-0005-0000-0000-000094060000}"/>
    <cellStyle name="백분율 5" xfId="1686" xr:uid="{00000000-0005-0000-0000-000095060000}"/>
    <cellStyle name="백분율 6" xfId="1687" xr:uid="{00000000-0005-0000-0000-000096060000}"/>
    <cellStyle name="백분율 7" xfId="1688" xr:uid="{00000000-0005-0000-0000-000097060000}"/>
    <cellStyle name="백분율 7 2" xfId="1689" xr:uid="{00000000-0005-0000-0000-000098060000}"/>
    <cellStyle name="백분율 7 3" xfId="1690" xr:uid="{00000000-0005-0000-0000-000099060000}"/>
    <cellStyle name="백분율 8" xfId="1691" xr:uid="{00000000-0005-0000-0000-00009A060000}"/>
    <cellStyle name="백분율 9" xfId="1692" xr:uid="{00000000-0005-0000-0000-00009B060000}"/>
    <cellStyle name="보고서" xfId="1693" xr:uid="{00000000-0005-0000-0000-00009C060000}"/>
    <cellStyle name="보고서 2" xfId="1694" xr:uid="{00000000-0005-0000-0000-00009D060000}"/>
    <cellStyle name="보고서 2 2" xfId="1695" xr:uid="{00000000-0005-0000-0000-00009E060000}"/>
    <cellStyle name="보고서 2 2 2" xfId="1696" xr:uid="{00000000-0005-0000-0000-00009F060000}"/>
    <cellStyle name="보고서 2 2 3" xfId="1697" xr:uid="{00000000-0005-0000-0000-0000A0060000}"/>
    <cellStyle name="보고서 2 3" xfId="1698" xr:uid="{00000000-0005-0000-0000-0000A1060000}"/>
    <cellStyle name="보고서 2 4" xfId="1699" xr:uid="{00000000-0005-0000-0000-0000A2060000}"/>
    <cellStyle name="보고서 3" xfId="1700" xr:uid="{00000000-0005-0000-0000-0000A3060000}"/>
    <cellStyle name="보고서 3 2" xfId="1701" xr:uid="{00000000-0005-0000-0000-0000A4060000}"/>
    <cellStyle name="보고서 3 2 2" xfId="1702" xr:uid="{00000000-0005-0000-0000-0000A5060000}"/>
    <cellStyle name="보고서 3 2 2 2" xfId="1703" xr:uid="{00000000-0005-0000-0000-0000A6060000}"/>
    <cellStyle name="보고서 3 2 2 3" xfId="1704" xr:uid="{00000000-0005-0000-0000-0000A7060000}"/>
    <cellStyle name="보고서 3 2 3" xfId="1705" xr:uid="{00000000-0005-0000-0000-0000A8060000}"/>
    <cellStyle name="보고서 3 2 4" xfId="1706" xr:uid="{00000000-0005-0000-0000-0000A9060000}"/>
    <cellStyle name="보고서 3 3" xfId="1707" xr:uid="{00000000-0005-0000-0000-0000AA060000}"/>
    <cellStyle name="보고서 3 3 2" xfId="1708" xr:uid="{00000000-0005-0000-0000-0000AB060000}"/>
    <cellStyle name="보고서 3 3 2 2" xfId="1709" xr:uid="{00000000-0005-0000-0000-0000AC060000}"/>
    <cellStyle name="보고서 3 3 2 3" xfId="1710" xr:uid="{00000000-0005-0000-0000-0000AD060000}"/>
    <cellStyle name="보고서 3 3 3" xfId="1711" xr:uid="{00000000-0005-0000-0000-0000AE060000}"/>
    <cellStyle name="보고서 3 3 4" xfId="1712" xr:uid="{00000000-0005-0000-0000-0000AF060000}"/>
    <cellStyle name="보고서 3 4" xfId="1713" xr:uid="{00000000-0005-0000-0000-0000B0060000}"/>
    <cellStyle name="보고서 3 4 2" xfId="1714" xr:uid="{00000000-0005-0000-0000-0000B1060000}"/>
    <cellStyle name="보고서 3 4 3" xfId="1715" xr:uid="{00000000-0005-0000-0000-0000B2060000}"/>
    <cellStyle name="보고서 3 5" xfId="1716" xr:uid="{00000000-0005-0000-0000-0000B3060000}"/>
    <cellStyle name="보고서 3 6" xfId="1717" xr:uid="{00000000-0005-0000-0000-0000B4060000}"/>
    <cellStyle name="보고서 4" xfId="1718" xr:uid="{00000000-0005-0000-0000-0000B5060000}"/>
    <cellStyle name="보고서 4 2" xfId="1719" xr:uid="{00000000-0005-0000-0000-0000B6060000}"/>
    <cellStyle name="보고서 4 2 2" xfId="1720" xr:uid="{00000000-0005-0000-0000-0000B7060000}"/>
    <cellStyle name="보고서 4 2 3" xfId="1721" xr:uid="{00000000-0005-0000-0000-0000B8060000}"/>
    <cellStyle name="보고서 4 3" xfId="1722" xr:uid="{00000000-0005-0000-0000-0000B9060000}"/>
    <cellStyle name="보고서 4 4" xfId="1723" xr:uid="{00000000-0005-0000-0000-0000BA060000}"/>
    <cellStyle name="보고서 5" xfId="1724" xr:uid="{00000000-0005-0000-0000-0000BB060000}"/>
    <cellStyle name="보고서 5 2" xfId="1725" xr:uid="{00000000-0005-0000-0000-0000BC060000}"/>
    <cellStyle name="보고서 5 2 2" xfId="1726" xr:uid="{00000000-0005-0000-0000-0000BD060000}"/>
    <cellStyle name="보고서 5 2 3" xfId="1727" xr:uid="{00000000-0005-0000-0000-0000BE060000}"/>
    <cellStyle name="보고서 5 3" xfId="1728" xr:uid="{00000000-0005-0000-0000-0000BF060000}"/>
    <cellStyle name="보고서 5 4" xfId="1729" xr:uid="{00000000-0005-0000-0000-0000C0060000}"/>
    <cellStyle name="보고서 6" xfId="1730" xr:uid="{00000000-0005-0000-0000-0000C1060000}"/>
    <cellStyle name="보고서 6 2" xfId="1731" xr:uid="{00000000-0005-0000-0000-0000C2060000}"/>
    <cellStyle name="보고서 6 3" xfId="1732" xr:uid="{00000000-0005-0000-0000-0000C3060000}"/>
    <cellStyle name="보고서 7" xfId="1733" xr:uid="{00000000-0005-0000-0000-0000C4060000}"/>
    <cellStyle name="보고서 8" xfId="1734" xr:uid="{00000000-0005-0000-0000-0000C5060000}"/>
    <cellStyle name="보통" xfId="1735" builtinId="28" customBuiltin="1"/>
    <cellStyle name="보통 10" xfId="1736" xr:uid="{00000000-0005-0000-0000-0000C7060000}"/>
    <cellStyle name="보통 11" xfId="1737" xr:uid="{00000000-0005-0000-0000-0000C8060000}"/>
    <cellStyle name="보통 12" xfId="1738" xr:uid="{00000000-0005-0000-0000-0000C9060000}"/>
    <cellStyle name="보통 13" xfId="1739" xr:uid="{00000000-0005-0000-0000-0000CA060000}"/>
    <cellStyle name="보통 14" xfId="1740" xr:uid="{00000000-0005-0000-0000-0000CB060000}"/>
    <cellStyle name="보통 15" xfId="1741" xr:uid="{00000000-0005-0000-0000-0000CC060000}"/>
    <cellStyle name="보통 16" xfId="1742" xr:uid="{00000000-0005-0000-0000-0000CD060000}"/>
    <cellStyle name="보통 17" xfId="1743" xr:uid="{00000000-0005-0000-0000-0000CE060000}"/>
    <cellStyle name="보통 2" xfId="1744" xr:uid="{00000000-0005-0000-0000-0000CF060000}"/>
    <cellStyle name="보통 2 2" xfId="1745" xr:uid="{00000000-0005-0000-0000-0000D0060000}"/>
    <cellStyle name="보통 3" xfId="1746" xr:uid="{00000000-0005-0000-0000-0000D1060000}"/>
    <cellStyle name="보통 3 2" xfId="1747" xr:uid="{00000000-0005-0000-0000-0000D2060000}"/>
    <cellStyle name="보통 4" xfId="1748" xr:uid="{00000000-0005-0000-0000-0000D3060000}"/>
    <cellStyle name="보통 5" xfId="1749" xr:uid="{00000000-0005-0000-0000-0000D4060000}"/>
    <cellStyle name="보통 5 2" xfId="1750" xr:uid="{00000000-0005-0000-0000-0000D5060000}"/>
    <cellStyle name="보통 5 3" xfId="1751" xr:uid="{00000000-0005-0000-0000-0000D6060000}"/>
    <cellStyle name="보통 6" xfId="1752" xr:uid="{00000000-0005-0000-0000-0000D7060000}"/>
    <cellStyle name="보통 6 2" xfId="1753" xr:uid="{00000000-0005-0000-0000-0000D8060000}"/>
    <cellStyle name="보통 7" xfId="1754" xr:uid="{00000000-0005-0000-0000-0000D9060000}"/>
    <cellStyle name="보통 7 2" xfId="1755" xr:uid="{00000000-0005-0000-0000-0000DA060000}"/>
    <cellStyle name="보통 8" xfId="1756" xr:uid="{00000000-0005-0000-0000-0000DB060000}"/>
    <cellStyle name="보통 8 2" xfId="1757" xr:uid="{00000000-0005-0000-0000-0000DC060000}"/>
    <cellStyle name="보통 9" xfId="1758" xr:uid="{00000000-0005-0000-0000-0000DD060000}"/>
    <cellStyle name="뷭?_?긚??_1" xfId="1759" xr:uid="{00000000-0005-0000-0000-0000DE060000}"/>
    <cellStyle name="븏?_bookship" xfId="1760" xr:uid="{00000000-0005-0000-0000-0000DF060000}"/>
    <cellStyle name="사용자" xfId="1761" xr:uid="{00000000-0005-0000-0000-0000E0060000}"/>
    <cellStyle name="常规_바젤11_AN28 엔티티(파일) 정의서_고객_국외고객원장" xfId="1762" xr:uid="{00000000-0005-0000-0000-0000E1060000}"/>
    <cellStyle name="새귑[0]_롤痰삠悧 " xfId="1763" xr:uid="{00000000-0005-0000-0000-0000E2060000}"/>
    <cellStyle name="새귑_롤痰삠悧 " xfId="1764" xr:uid="{00000000-0005-0000-0000-0000E3060000}"/>
    <cellStyle name="선 수 보 험 료" xfId="1765" xr:uid="{00000000-0005-0000-0000-0000E4060000}"/>
    <cellStyle name="선 수 보 험 료 2" xfId="1766" xr:uid="{00000000-0005-0000-0000-0000E5060000}"/>
    <cellStyle name="선택영역의 가운데로" xfId="1767" xr:uid="{00000000-0005-0000-0000-0000E6060000}"/>
    <cellStyle name="선택영역의 가운데로 2" xfId="1768" xr:uid="{00000000-0005-0000-0000-0000E7060000}"/>
    <cellStyle name="선택영역의 가운데로 2 2" xfId="1769" xr:uid="{00000000-0005-0000-0000-0000E8060000}"/>
    <cellStyle name="선택영역의 가운데로 2 2 2" xfId="1770" xr:uid="{00000000-0005-0000-0000-0000E9060000}"/>
    <cellStyle name="선택영역의 가운데로 2 2 3" xfId="1771" xr:uid="{00000000-0005-0000-0000-0000EA060000}"/>
    <cellStyle name="선택영역의 가운데로 2 3" xfId="1772" xr:uid="{00000000-0005-0000-0000-0000EB060000}"/>
    <cellStyle name="선택영역의 가운데로 2 4" xfId="1773" xr:uid="{00000000-0005-0000-0000-0000EC060000}"/>
    <cellStyle name="선택영역의 가운데로 3" xfId="1774" xr:uid="{00000000-0005-0000-0000-0000ED060000}"/>
    <cellStyle name="선택영역의 가운데로 3 2" xfId="1775" xr:uid="{00000000-0005-0000-0000-0000EE060000}"/>
    <cellStyle name="선택영역의 가운데로 3 2 2" xfId="1776" xr:uid="{00000000-0005-0000-0000-0000EF060000}"/>
    <cellStyle name="선택영역의 가운데로 3 2 3" xfId="1777" xr:uid="{00000000-0005-0000-0000-0000F0060000}"/>
    <cellStyle name="선택영역의 가운데로 3 3" xfId="1778" xr:uid="{00000000-0005-0000-0000-0000F1060000}"/>
    <cellStyle name="선택영역의 가운데로 3 4" xfId="1779" xr:uid="{00000000-0005-0000-0000-0000F2060000}"/>
    <cellStyle name="선택영역의 가운데로 4" xfId="1780" xr:uid="{00000000-0005-0000-0000-0000F3060000}"/>
    <cellStyle name="선택영역의 가운데로 4 2" xfId="1781" xr:uid="{00000000-0005-0000-0000-0000F4060000}"/>
    <cellStyle name="선택영역의 가운데로 4 3" xfId="1782" xr:uid="{00000000-0005-0000-0000-0000F5060000}"/>
    <cellStyle name="선택영역의 가운데로 5" xfId="1783" xr:uid="{00000000-0005-0000-0000-0000F6060000}"/>
    <cellStyle name="선택영역의 가운데로 6" xfId="1784" xr:uid="{00000000-0005-0000-0000-0000F7060000}"/>
    <cellStyle name="설명 텍스트" xfId="1785" builtinId="53" customBuiltin="1"/>
    <cellStyle name="설명 텍스트 10" xfId="1786" xr:uid="{00000000-0005-0000-0000-0000F9060000}"/>
    <cellStyle name="설명 텍스트 11" xfId="1787" xr:uid="{00000000-0005-0000-0000-0000FA060000}"/>
    <cellStyle name="설명 텍스트 12" xfId="1788" xr:uid="{00000000-0005-0000-0000-0000FB060000}"/>
    <cellStyle name="설명 텍스트 13" xfId="1789" xr:uid="{00000000-0005-0000-0000-0000FC060000}"/>
    <cellStyle name="설명 텍스트 14" xfId="1790" xr:uid="{00000000-0005-0000-0000-0000FD060000}"/>
    <cellStyle name="설명 텍스트 15" xfId="1791" xr:uid="{00000000-0005-0000-0000-0000FE060000}"/>
    <cellStyle name="설명 텍스트 16" xfId="1792" xr:uid="{00000000-0005-0000-0000-0000FF060000}"/>
    <cellStyle name="설명 텍스트 17" xfId="1793" xr:uid="{00000000-0005-0000-0000-000000070000}"/>
    <cellStyle name="설명 텍스트 2" xfId="1794" xr:uid="{00000000-0005-0000-0000-000001070000}"/>
    <cellStyle name="설명 텍스트 2 2" xfId="1795" xr:uid="{00000000-0005-0000-0000-000002070000}"/>
    <cellStyle name="설명 텍스트 3" xfId="1796" xr:uid="{00000000-0005-0000-0000-000003070000}"/>
    <cellStyle name="설명 텍스트 3 2" xfId="1797" xr:uid="{00000000-0005-0000-0000-000004070000}"/>
    <cellStyle name="설명 텍스트 4" xfId="1798" xr:uid="{00000000-0005-0000-0000-000005070000}"/>
    <cellStyle name="설명 텍스트 5" xfId="1799" xr:uid="{00000000-0005-0000-0000-000006070000}"/>
    <cellStyle name="설명 텍스트 5 2" xfId="1800" xr:uid="{00000000-0005-0000-0000-000007070000}"/>
    <cellStyle name="설명 텍스트 5 3" xfId="1801" xr:uid="{00000000-0005-0000-0000-000008070000}"/>
    <cellStyle name="설명 텍스트 6" xfId="1802" xr:uid="{00000000-0005-0000-0000-000009070000}"/>
    <cellStyle name="설명 텍스트 6 2" xfId="1803" xr:uid="{00000000-0005-0000-0000-00000A070000}"/>
    <cellStyle name="설명 텍스트 7" xfId="1804" xr:uid="{00000000-0005-0000-0000-00000B070000}"/>
    <cellStyle name="설명 텍스트 7 2" xfId="1805" xr:uid="{00000000-0005-0000-0000-00000C070000}"/>
    <cellStyle name="설명 텍스트 8" xfId="1806" xr:uid="{00000000-0005-0000-0000-00000D070000}"/>
    <cellStyle name="설명 텍스트 8 2" xfId="1807" xr:uid="{00000000-0005-0000-0000-00000E070000}"/>
    <cellStyle name="설명 텍스트 9" xfId="1808" xr:uid="{00000000-0005-0000-0000-00000F070000}"/>
    <cellStyle name="셀 확인" xfId="1809" builtinId="23" customBuiltin="1"/>
    <cellStyle name="셀 확인 10" xfId="1810" xr:uid="{00000000-0005-0000-0000-000011070000}"/>
    <cellStyle name="셀 확인 11" xfId="1811" xr:uid="{00000000-0005-0000-0000-000012070000}"/>
    <cellStyle name="셀 확인 12" xfId="1812" xr:uid="{00000000-0005-0000-0000-000013070000}"/>
    <cellStyle name="셀 확인 13" xfId="1813" xr:uid="{00000000-0005-0000-0000-000014070000}"/>
    <cellStyle name="셀 확인 14" xfId="1814" xr:uid="{00000000-0005-0000-0000-000015070000}"/>
    <cellStyle name="셀 확인 15" xfId="1815" xr:uid="{00000000-0005-0000-0000-000016070000}"/>
    <cellStyle name="셀 확인 16" xfId="1816" xr:uid="{00000000-0005-0000-0000-000017070000}"/>
    <cellStyle name="셀 확인 17" xfId="1817" xr:uid="{00000000-0005-0000-0000-000018070000}"/>
    <cellStyle name="셀 확인 2" xfId="1818" xr:uid="{00000000-0005-0000-0000-000019070000}"/>
    <cellStyle name="셀 확인 2 2" xfId="1819" xr:uid="{00000000-0005-0000-0000-00001A070000}"/>
    <cellStyle name="셀 확인 3" xfId="1820" xr:uid="{00000000-0005-0000-0000-00001B070000}"/>
    <cellStyle name="셀 확인 3 2" xfId="1821" xr:uid="{00000000-0005-0000-0000-00001C070000}"/>
    <cellStyle name="셀 확인 4" xfId="1822" xr:uid="{00000000-0005-0000-0000-00001D070000}"/>
    <cellStyle name="셀 확인 5" xfId="1823" xr:uid="{00000000-0005-0000-0000-00001E070000}"/>
    <cellStyle name="셀 확인 5 2" xfId="1824" xr:uid="{00000000-0005-0000-0000-00001F070000}"/>
    <cellStyle name="셀 확인 5 3" xfId="1825" xr:uid="{00000000-0005-0000-0000-000020070000}"/>
    <cellStyle name="셀 확인 6" xfId="1826" xr:uid="{00000000-0005-0000-0000-000021070000}"/>
    <cellStyle name="셀 확인 6 2" xfId="1827" xr:uid="{00000000-0005-0000-0000-000022070000}"/>
    <cellStyle name="셀 확인 7" xfId="1828" xr:uid="{00000000-0005-0000-0000-000023070000}"/>
    <cellStyle name="셀 확인 7 2" xfId="1829" xr:uid="{00000000-0005-0000-0000-000024070000}"/>
    <cellStyle name="셀 확인 8" xfId="1830" xr:uid="{00000000-0005-0000-0000-000025070000}"/>
    <cellStyle name="셀 확인 8 2" xfId="1831" xr:uid="{00000000-0005-0000-0000-000026070000}"/>
    <cellStyle name="셀 확인 9" xfId="1832" xr:uid="{00000000-0005-0000-0000-000027070000}"/>
    <cellStyle name="숫자" xfId="1833" xr:uid="{00000000-0005-0000-0000-000028070000}"/>
    <cellStyle name="숫자 2" xfId="1834" xr:uid="{00000000-0005-0000-0000-000029070000}"/>
    <cellStyle name="숫자 2 2" xfId="1835" xr:uid="{00000000-0005-0000-0000-00002A070000}"/>
    <cellStyle name="숫자 2 2 2" xfId="1836" xr:uid="{00000000-0005-0000-0000-00002B070000}"/>
    <cellStyle name="숫자 2 2 3" xfId="1837" xr:uid="{00000000-0005-0000-0000-00002C070000}"/>
    <cellStyle name="숫자 2 3" xfId="1838" xr:uid="{00000000-0005-0000-0000-00002D070000}"/>
    <cellStyle name="숫자 2 4" xfId="1839" xr:uid="{00000000-0005-0000-0000-00002E070000}"/>
    <cellStyle name="숫자 3" xfId="1840" xr:uid="{00000000-0005-0000-0000-00002F070000}"/>
    <cellStyle name="숫자 3 2" xfId="1841" xr:uid="{00000000-0005-0000-0000-000030070000}"/>
    <cellStyle name="숫자 3 2 2" xfId="1842" xr:uid="{00000000-0005-0000-0000-000031070000}"/>
    <cellStyle name="숫자 3 2 2 2" xfId="1843" xr:uid="{00000000-0005-0000-0000-000032070000}"/>
    <cellStyle name="숫자 3 2 2 3" xfId="1844" xr:uid="{00000000-0005-0000-0000-000033070000}"/>
    <cellStyle name="숫자 3 2 3" xfId="1845" xr:uid="{00000000-0005-0000-0000-000034070000}"/>
    <cellStyle name="숫자 3 2 4" xfId="1846" xr:uid="{00000000-0005-0000-0000-000035070000}"/>
    <cellStyle name="숫자 3 3" xfId="1847" xr:uid="{00000000-0005-0000-0000-000036070000}"/>
    <cellStyle name="숫자 3 3 2" xfId="1848" xr:uid="{00000000-0005-0000-0000-000037070000}"/>
    <cellStyle name="숫자 3 3 2 2" xfId="1849" xr:uid="{00000000-0005-0000-0000-000038070000}"/>
    <cellStyle name="숫자 3 3 2 3" xfId="1850" xr:uid="{00000000-0005-0000-0000-000039070000}"/>
    <cellStyle name="숫자 3 3 3" xfId="1851" xr:uid="{00000000-0005-0000-0000-00003A070000}"/>
    <cellStyle name="숫자 3 3 4" xfId="1852" xr:uid="{00000000-0005-0000-0000-00003B070000}"/>
    <cellStyle name="숫자 3 4" xfId="1853" xr:uid="{00000000-0005-0000-0000-00003C070000}"/>
    <cellStyle name="숫자 3 4 2" xfId="1854" xr:uid="{00000000-0005-0000-0000-00003D070000}"/>
    <cellStyle name="숫자 3 4 3" xfId="1855" xr:uid="{00000000-0005-0000-0000-00003E070000}"/>
    <cellStyle name="숫자 3 5" xfId="1856" xr:uid="{00000000-0005-0000-0000-00003F070000}"/>
    <cellStyle name="숫자 3 6" xfId="1857" xr:uid="{00000000-0005-0000-0000-000040070000}"/>
    <cellStyle name="숫자 4" xfId="1858" xr:uid="{00000000-0005-0000-0000-000041070000}"/>
    <cellStyle name="숫자 4 2" xfId="1859" xr:uid="{00000000-0005-0000-0000-000042070000}"/>
    <cellStyle name="숫자 4 2 2" xfId="1860" xr:uid="{00000000-0005-0000-0000-000043070000}"/>
    <cellStyle name="숫자 4 2 3" xfId="1861" xr:uid="{00000000-0005-0000-0000-000044070000}"/>
    <cellStyle name="숫자 4 3" xfId="1862" xr:uid="{00000000-0005-0000-0000-000045070000}"/>
    <cellStyle name="숫자 4 4" xfId="1863" xr:uid="{00000000-0005-0000-0000-000046070000}"/>
    <cellStyle name="숫자 5" xfId="1864" xr:uid="{00000000-0005-0000-0000-000047070000}"/>
    <cellStyle name="숫자 5 2" xfId="1865" xr:uid="{00000000-0005-0000-0000-000048070000}"/>
    <cellStyle name="숫자 5 2 2" xfId="1866" xr:uid="{00000000-0005-0000-0000-000049070000}"/>
    <cellStyle name="숫자 5 2 3" xfId="1867" xr:uid="{00000000-0005-0000-0000-00004A070000}"/>
    <cellStyle name="숫자 5 3" xfId="1868" xr:uid="{00000000-0005-0000-0000-00004B070000}"/>
    <cellStyle name="숫자 5 4" xfId="1869" xr:uid="{00000000-0005-0000-0000-00004C070000}"/>
    <cellStyle name="숫자 6" xfId="1870" xr:uid="{00000000-0005-0000-0000-00004D070000}"/>
    <cellStyle name="숫자 6 2" xfId="1871" xr:uid="{00000000-0005-0000-0000-00004E070000}"/>
    <cellStyle name="숫자 6 3" xfId="1872" xr:uid="{00000000-0005-0000-0000-00004F070000}"/>
    <cellStyle name="숫자 7" xfId="1873" xr:uid="{00000000-0005-0000-0000-000050070000}"/>
    <cellStyle name="숫자 8" xfId="1874" xr:uid="{00000000-0005-0000-0000-000051070000}"/>
    <cellStyle name="숫자(R)" xfId="1875" xr:uid="{00000000-0005-0000-0000-000052070000}"/>
    <cellStyle name="숫자_삼각형[0-]" xfId="1876" xr:uid="{00000000-0005-0000-0000-000053070000}"/>
    <cellStyle name="쉼표 [0]" xfId="1877" builtinId="6"/>
    <cellStyle name="쉼표 [0] 2" xfId="1878" xr:uid="{00000000-0005-0000-0000-000055070000}"/>
    <cellStyle name="쉼표 [0] 2 2" xfId="1879" xr:uid="{00000000-0005-0000-0000-000056070000}"/>
    <cellStyle name="쉼표 [0] 2 2 2" xfId="1880" xr:uid="{00000000-0005-0000-0000-000057070000}"/>
    <cellStyle name="쉼표 [0] 2 2 2 2" xfId="1881" xr:uid="{00000000-0005-0000-0000-000058070000}"/>
    <cellStyle name="쉼표 [0] 2 2 3" xfId="1882" xr:uid="{00000000-0005-0000-0000-000059070000}"/>
    <cellStyle name="쉼표 [0] 2 3" xfId="1883" xr:uid="{00000000-0005-0000-0000-00005A070000}"/>
    <cellStyle name="쉼표 [0] 2 3 2" xfId="1884" xr:uid="{00000000-0005-0000-0000-00005B070000}"/>
    <cellStyle name="쉼표 [0] 2 3 3" xfId="1885" xr:uid="{00000000-0005-0000-0000-00005C070000}"/>
    <cellStyle name="쉼표 [0] 2 3 4" xfId="1886" xr:uid="{00000000-0005-0000-0000-00005D070000}"/>
    <cellStyle name="쉼표 [0] 2 4" xfId="1887" xr:uid="{00000000-0005-0000-0000-00005E070000}"/>
    <cellStyle name="쉼표 [0] 2 4 2" xfId="1888" xr:uid="{00000000-0005-0000-0000-00005F070000}"/>
    <cellStyle name="쉼표 [0] 2 5" xfId="1889" xr:uid="{00000000-0005-0000-0000-000060070000}"/>
    <cellStyle name="쉼표 [0] 2 5 2" xfId="1890" xr:uid="{00000000-0005-0000-0000-000061070000}"/>
    <cellStyle name="쉼표 [0] 2 6" xfId="1891" xr:uid="{00000000-0005-0000-0000-000062070000}"/>
    <cellStyle name="쉼표 [0] 3" xfId="1892" xr:uid="{00000000-0005-0000-0000-000063070000}"/>
    <cellStyle name="쉼표 [0] 3 2" xfId="1893" xr:uid="{00000000-0005-0000-0000-000064070000}"/>
    <cellStyle name="쉼표 [0] 3 2 2" xfId="1894" xr:uid="{00000000-0005-0000-0000-000065070000}"/>
    <cellStyle name="쉼표 [0] 4" xfId="1895" xr:uid="{00000000-0005-0000-0000-000066070000}"/>
    <cellStyle name="쉼표 [0] 4 2" xfId="1896" xr:uid="{00000000-0005-0000-0000-000067070000}"/>
    <cellStyle name="쉼표 [0] 5" xfId="1897" xr:uid="{00000000-0005-0000-0000-000068070000}"/>
    <cellStyle name="쉼표 [0] 5 2" xfId="1898" xr:uid="{00000000-0005-0000-0000-000069070000}"/>
    <cellStyle name="쉼표 [0] 5 3" xfId="1899" xr:uid="{00000000-0005-0000-0000-00006A070000}"/>
    <cellStyle name="쉼표 [0] 5 3 2" xfId="1900" xr:uid="{00000000-0005-0000-0000-00006B070000}"/>
    <cellStyle name="쉼표 [0] 5 4" xfId="1901" xr:uid="{00000000-0005-0000-0000-00006C070000}"/>
    <cellStyle name="쉼표 [0] 5 4 2" xfId="1902" xr:uid="{00000000-0005-0000-0000-00006D070000}"/>
    <cellStyle name="쉼표 [0] 5 5" xfId="1903" xr:uid="{00000000-0005-0000-0000-00006E070000}"/>
    <cellStyle name="쉼표 [0] 6" xfId="1904" xr:uid="{00000000-0005-0000-0000-00006F070000}"/>
    <cellStyle name="쉼표 [0] 7" xfId="1905" xr:uid="{00000000-0005-0000-0000-000070070000}"/>
    <cellStyle name="쉼표 [0] 7 2" xfId="1906" xr:uid="{00000000-0005-0000-0000-000071070000}"/>
    <cellStyle name="쉼표 [0] 7 3" xfId="1907" xr:uid="{00000000-0005-0000-0000-000072070000}"/>
    <cellStyle name="쉼표 [0] 8" xfId="1908" xr:uid="{00000000-0005-0000-0000-000073070000}"/>
    <cellStyle name="쉼표 2" xfId="1909" xr:uid="{00000000-0005-0000-0000-000074070000}"/>
    <cellStyle name="쉼표 3" xfId="1910" xr:uid="{00000000-0005-0000-0000-000075070000}"/>
    <cellStyle name="쉼표 4" xfId="1911" xr:uid="{00000000-0005-0000-0000-000076070000}"/>
    <cellStyle name="쉼표 5" xfId="1912" xr:uid="{00000000-0005-0000-0000-000077070000}"/>
    <cellStyle name="스타일 1" xfId="1913" xr:uid="{00000000-0005-0000-0000-000078070000}"/>
    <cellStyle name="스타일 2" xfId="1914" xr:uid="{00000000-0005-0000-0000-000079070000}"/>
    <cellStyle name="스타일 3" xfId="1915" xr:uid="{00000000-0005-0000-0000-00007A070000}"/>
    <cellStyle name="스타일 4" xfId="1916" xr:uid="{00000000-0005-0000-0000-00007B070000}"/>
    <cellStyle name="스타일 5" xfId="1917" xr:uid="{00000000-0005-0000-0000-00007C070000}"/>
    <cellStyle name="스타일 6" xfId="1918" xr:uid="{00000000-0005-0000-0000-00007D070000}"/>
    <cellStyle name="스타일 7" xfId="1919" xr:uid="{00000000-0005-0000-0000-00007E070000}"/>
    <cellStyle name="스타일 8" xfId="1920" xr:uid="{00000000-0005-0000-0000-00007F070000}"/>
    <cellStyle name="스타일 9" xfId="1921" xr:uid="{00000000-0005-0000-0000-000080070000}"/>
    <cellStyle name="식" xfId="1922" xr:uid="{00000000-0005-0000-0000-000081070000}"/>
    <cellStyle name="식 2" xfId="1923" xr:uid="{00000000-0005-0000-0000-000082070000}"/>
    <cellStyle name="식_부실채권_정리_조사표_20091128" xfId="1924" xr:uid="{00000000-0005-0000-0000-000083070000}"/>
    <cellStyle name="식_부실채권_정리_조사표_20091128 2" xfId="1925" xr:uid="{00000000-0005-0000-0000-000084070000}"/>
    <cellStyle name="식_신용위험및중기대부문 조사표(081109)_펀드담보대출" xfId="1926" xr:uid="{00000000-0005-0000-0000-000085070000}"/>
    <cellStyle name="식_신용위험및중기대부문 조사표(081109)_펀드담보대출 2" xfId="1927" xr:uid="{00000000-0005-0000-0000-000086070000}"/>
    <cellStyle name="식_신한_0902" xfId="1928" xr:uid="{00000000-0005-0000-0000-000087070000}"/>
    <cellStyle name="식_신한_0902 2" xfId="1929" xr:uid="{00000000-0005-0000-0000-000088070000}"/>
    <cellStyle name="신협" xfId="1930" xr:uid="{00000000-0005-0000-0000-000089070000}"/>
    <cellStyle name="십억단위" xfId="1931" xr:uid="{00000000-0005-0000-0000-00008A070000}"/>
    <cellStyle name="안건회계법인" xfId="1932" xr:uid="{00000000-0005-0000-0000-00008B070000}"/>
    <cellStyle name="액제" xfId="1933" xr:uid="{00000000-0005-0000-0000-00008C070000}"/>
    <cellStyle name="앰플" xfId="1934" xr:uid="{00000000-0005-0000-0000-00008D070000}"/>
    <cellStyle name="연결된 셀" xfId="1935" builtinId="24" customBuiltin="1"/>
    <cellStyle name="연결된 셀 10" xfId="1936" xr:uid="{00000000-0005-0000-0000-00008F070000}"/>
    <cellStyle name="연결된 셀 11" xfId="1937" xr:uid="{00000000-0005-0000-0000-000090070000}"/>
    <cellStyle name="연결된 셀 12" xfId="1938" xr:uid="{00000000-0005-0000-0000-000091070000}"/>
    <cellStyle name="연결된 셀 13" xfId="1939" xr:uid="{00000000-0005-0000-0000-000092070000}"/>
    <cellStyle name="연결된 셀 14" xfId="1940" xr:uid="{00000000-0005-0000-0000-000093070000}"/>
    <cellStyle name="연결된 셀 15" xfId="1941" xr:uid="{00000000-0005-0000-0000-000094070000}"/>
    <cellStyle name="연결된 셀 16" xfId="1942" xr:uid="{00000000-0005-0000-0000-000095070000}"/>
    <cellStyle name="연결된 셀 17" xfId="1943" xr:uid="{00000000-0005-0000-0000-000096070000}"/>
    <cellStyle name="연결된 셀 2" xfId="1944" xr:uid="{00000000-0005-0000-0000-000097070000}"/>
    <cellStyle name="연결된 셀 2 2" xfId="1945" xr:uid="{00000000-0005-0000-0000-000098070000}"/>
    <cellStyle name="연결된 셀 3" xfId="1946" xr:uid="{00000000-0005-0000-0000-000099070000}"/>
    <cellStyle name="연결된 셀 3 2" xfId="1947" xr:uid="{00000000-0005-0000-0000-00009A070000}"/>
    <cellStyle name="연결된 셀 4" xfId="1948" xr:uid="{00000000-0005-0000-0000-00009B070000}"/>
    <cellStyle name="연결된 셀 5" xfId="1949" xr:uid="{00000000-0005-0000-0000-00009C070000}"/>
    <cellStyle name="연결된 셀 5 2" xfId="1950" xr:uid="{00000000-0005-0000-0000-00009D070000}"/>
    <cellStyle name="연결된 셀 5 3" xfId="1951" xr:uid="{00000000-0005-0000-0000-00009E070000}"/>
    <cellStyle name="연결된 셀 6" xfId="1952" xr:uid="{00000000-0005-0000-0000-00009F070000}"/>
    <cellStyle name="연결된 셀 6 2" xfId="1953" xr:uid="{00000000-0005-0000-0000-0000A0070000}"/>
    <cellStyle name="연결된 셀 7" xfId="1954" xr:uid="{00000000-0005-0000-0000-0000A1070000}"/>
    <cellStyle name="연결된 셀 7 2" xfId="1955" xr:uid="{00000000-0005-0000-0000-0000A2070000}"/>
    <cellStyle name="연결된 셀 8" xfId="1956" xr:uid="{00000000-0005-0000-0000-0000A3070000}"/>
    <cellStyle name="연결된 셀 8 2" xfId="1957" xr:uid="{00000000-0005-0000-0000-0000A4070000}"/>
    <cellStyle name="연결된 셀 9" xfId="1958" xr:uid="{00000000-0005-0000-0000-0000A5070000}"/>
    <cellStyle name="연고" xfId="1959" xr:uid="{00000000-0005-0000-0000-0000A6070000}"/>
    <cellStyle name="요약" xfId="1960" builtinId="25" customBuiltin="1"/>
    <cellStyle name="요약 10" xfId="1961" xr:uid="{00000000-0005-0000-0000-0000A8070000}"/>
    <cellStyle name="요약 11" xfId="1962" xr:uid="{00000000-0005-0000-0000-0000A9070000}"/>
    <cellStyle name="요약 12" xfId="1963" xr:uid="{00000000-0005-0000-0000-0000AA070000}"/>
    <cellStyle name="요약 13" xfId="1964" xr:uid="{00000000-0005-0000-0000-0000AB070000}"/>
    <cellStyle name="요약 14" xfId="1965" xr:uid="{00000000-0005-0000-0000-0000AC070000}"/>
    <cellStyle name="요약 15" xfId="1966" xr:uid="{00000000-0005-0000-0000-0000AD070000}"/>
    <cellStyle name="요약 15 2" xfId="1967" xr:uid="{00000000-0005-0000-0000-0000AE070000}"/>
    <cellStyle name="요약 15 3" xfId="1968" xr:uid="{00000000-0005-0000-0000-0000AF070000}"/>
    <cellStyle name="요약 16" xfId="1969" xr:uid="{00000000-0005-0000-0000-0000B0070000}"/>
    <cellStyle name="요약 16 2" xfId="1970" xr:uid="{00000000-0005-0000-0000-0000B1070000}"/>
    <cellStyle name="요약 16 3" xfId="1971" xr:uid="{00000000-0005-0000-0000-0000B2070000}"/>
    <cellStyle name="요약 17" xfId="1972" xr:uid="{00000000-0005-0000-0000-0000B3070000}"/>
    <cellStyle name="요약 2" xfId="1973" xr:uid="{00000000-0005-0000-0000-0000B4070000}"/>
    <cellStyle name="요약 2 2" xfId="1974" xr:uid="{00000000-0005-0000-0000-0000B5070000}"/>
    <cellStyle name="요약 3" xfId="1975" xr:uid="{00000000-0005-0000-0000-0000B6070000}"/>
    <cellStyle name="요약 3 2" xfId="1976" xr:uid="{00000000-0005-0000-0000-0000B7070000}"/>
    <cellStyle name="요약 4" xfId="1977" xr:uid="{00000000-0005-0000-0000-0000B8070000}"/>
    <cellStyle name="요약 5" xfId="1978" xr:uid="{00000000-0005-0000-0000-0000B9070000}"/>
    <cellStyle name="요약 5 2" xfId="1979" xr:uid="{00000000-0005-0000-0000-0000BA070000}"/>
    <cellStyle name="요약 5 3" xfId="1980" xr:uid="{00000000-0005-0000-0000-0000BB070000}"/>
    <cellStyle name="요약 6" xfId="1981" xr:uid="{00000000-0005-0000-0000-0000BC070000}"/>
    <cellStyle name="요약 6 2" xfId="1982" xr:uid="{00000000-0005-0000-0000-0000BD070000}"/>
    <cellStyle name="요약 7" xfId="1983" xr:uid="{00000000-0005-0000-0000-0000BE070000}"/>
    <cellStyle name="요약 7 2" xfId="1984" xr:uid="{00000000-0005-0000-0000-0000BF070000}"/>
    <cellStyle name="요약 8" xfId="1985" xr:uid="{00000000-0005-0000-0000-0000C0070000}"/>
    <cellStyle name="요약 8 2" xfId="1986" xr:uid="{00000000-0005-0000-0000-0000C1070000}"/>
    <cellStyle name="요약 9" xfId="1987" xr:uid="{00000000-0005-0000-0000-0000C2070000}"/>
    <cellStyle name="원" xfId="1988" xr:uid="{00000000-0005-0000-0000-0000C3070000}"/>
    <cellStyle name="원_B2110" xfId="1989" xr:uid="{00000000-0005-0000-0000-0000C4070000}"/>
    <cellStyle name="원_B2111" xfId="1990" xr:uid="{00000000-0005-0000-0000-0000C5070000}"/>
    <cellStyle name="원_B2112" xfId="1991" xr:uid="{00000000-0005-0000-0000-0000C6070000}"/>
    <cellStyle name="원_B2501" xfId="1992" xr:uid="{00000000-0005-0000-0000-0000C7070000}"/>
    <cellStyle name="원_NCF6BB2F" xfId="1993" xr:uid="{00000000-0005-0000-0000-0000C8070000}"/>
    <cellStyle name="원_기타결산보고(200712)" xfId="1994" xr:uid="{00000000-0005-0000-0000-0000C9070000}"/>
    <cellStyle name="원_리스크관리부" xfId="1995" xr:uid="{00000000-0005-0000-0000-0000CA070000}"/>
    <cellStyle name="원_손익계산서(05년6월)_2" xfId="1996" xr:uid="{00000000-0005-0000-0000-0000CB070000}"/>
    <cellStyle name="원_손익계산서(200712)" xfId="1997" xr:uid="{00000000-0005-0000-0000-0000CC070000}"/>
    <cellStyle name="원_총괄분" xfId="1998" xr:uid="{00000000-0005-0000-0000-0000CD070000}"/>
    <cellStyle name="원통화" xfId="1999" xr:uid="{00000000-0005-0000-0000-0000CE070000}"/>
    <cellStyle name="유입" xfId="2000" xr:uid="{00000000-0005-0000-0000-0000CF070000}"/>
    <cellStyle name="유입 2" xfId="2001" xr:uid="{00000000-0005-0000-0000-0000D0070000}"/>
    <cellStyle name="유입 2 2" xfId="2002" xr:uid="{00000000-0005-0000-0000-0000D1070000}"/>
    <cellStyle name="유입 2 2 2" xfId="2003" xr:uid="{00000000-0005-0000-0000-0000D2070000}"/>
    <cellStyle name="유입 2 2 3" xfId="2004" xr:uid="{00000000-0005-0000-0000-0000D3070000}"/>
    <cellStyle name="유입 2 3" xfId="2005" xr:uid="{00000000-0005-0000-0000-0000D4070000}"/>
    <cellStyle name="유입 2 4" xfId="2006" xr:uid="{00000000-0005-0000-0000-0000D5070000}"/>
    <cellStyle name="유입 3" xfId="2007" xr:uid="{00000000-0005-0000-0000-0000D6070000}"/>
    <cellStyle name="유입 3 2" xfId="2008" xr:uid="{00000000-0005-0000-0000-0000D7070000}"/>
    <cellStyle name="유입 3 2 2" xfId="2009" xr:uid="{00000000-0005-0000-0000-0000D8070000}"/>
    <cellStyle name="유입 3 2 3" xfId="2010" xr:uid="{00000000-0005-0000-0000-0000D9070000}"/>
    <cellStyle name="유입 3 3" xfId="2011" xr:uid="{00000000-0005-0000-0000-0000DA070000}"/>
    <cellStyle name="유입 3 4" xfId="2012" xr:uid="{00000000-0005-0000-0000-0000DB070000}"/>
    <cellStyle name="유입 4" xfId="2013" xr:uid="{00000000-0005-0000-0000-0000DC070000}"/>
    <cellStyle name="유입 4 2" xfId="2014" xr:uid="{00000000-0005-0000-0000-0000DD070000}"/>
    <cellStyle name="유입 4 3" xfId="2015" xr:uid="{00000000-0005-0000-0000-0000DE070000}"/>
    <cellStyle name="유입 5" xfId="2016" xr:uid="{00000000-0005-0000-0000-0000DF070000}"/>
    <cellStyle name="유입 6" xfId="2017" xr:uid="{00000000-0005-0000-0000-0000E0070000}"/>
    <cellStyle name="이연사업비" xfId="2018" xr:uid="{00000000-0005-0000-0000-0000E1070000}"/>
    <cellStyle name="이연사업비 2" xfId="2019" xr:uid="{00000000-0005-0000-0000-0000E2070000}"/>
    <cellStyle name="一般_GARMENT STEP FORM HK" xfId="2020" xr:uid="{00000000-0005-0000-0000-0000E3070000}"/>
    <cellStyle name="입력" xfId="2021" builtinId="20" customBuiltin="1"/>
    <cellStyle name="입력 10" xfId="2022" xr:uid="{00000000-0005-0000-0000-0000E5070000}"/>
    <cellStyle name="입력 11" xfId="2023" xr:uid="{00000000-0005-0000-0000-0000E6070000}"/>
    <cellStyle name="입력 12" xfId="2024" xr:uid="{00000000-0005-0000-0000-0000E7070000}"/>
    <cellStyle name="입력 13" xfId="2025" xr:uid="{00000000-0005-0000-0000-0000E8070000}"/>
    <cellStyle name="입력 14" xfId="2026" xr:uid="{00000000-0005-0000-0000-0000E9070000}"/>
    <cellStyle name="입력 15" xfId="2027" xr:uid="{00000000-0005-0000-0000-0000EA070000}"/>
    <cellStyle name="입력 15 2" xfId="2028" xr:uid="{00000000-0005-0000-0000-0000EB070000}"/>
    <cellStyle name="입력 15 3" xfId="2029" xr:uid="{00000000-0005-0000-0000-0000EC070000}"/>
    <cellStyle name="입력 16" xfId="2030" xr:uid="{00000000-0005-0000-0000-0000ED070000}"/>
    <cellStyle name="입력 16 2" xfId="2031" xr:uid="{00000000-0005-0000-0000-0000EE070000}"/>
    <cellStyle name="입력 16 3" xfId="2032" xr:uid="{00000000-0005-0000-0000-0000EF070000}"/>
    <cellStyle name="입력 17" xfId="2033" xr:uid="{00000000-0005-0000-0000-0000F0070000}"/>
    <cellStyle name="입력 2" xfId="2034" xr:uid="{00000000-0005-0000-0000-0000F1070000}"/>
    <cellStyle name="입력 2 2" xfId="2035" xr:uid="{00000000-0005-0000-0000-0000F2070000}"/>
    <cellStyle name="입력 3" xfId="2036" xr:uid="{00000000-0005-0000-0000-0000F3070000}"/>
    <cellStyle name="입력 3 2" xfId="2037" xr:uid="{00000000-0005-0000-0000-0000F4070000}"/>
    <cellStyle name="입력 4" xfId="2038" xr:uid="{00000000-0005-0000-0000-0000F5070000}"/>
    <cellStyle name="입력 5" xfId="2039" xr:uid="{00000000-0005-0000-0000-0000F6070000}"/>
    <cellStyle name="입력 5 2" xfId="2040" xr:uid="{00000000-0005-0000-0000-0000F7070000}"/>
    <cellStyle name="입력 5 3" xfId="2041" xr:uid="{00000000-0005-0000-0000-0000F8070000}"/>
    <cellStyle name="입력 6" xfId="2042" xr:uid="{00000000-0005-0000-0000-0000F9070000}"/>
    <cellStyle name="입력 6 2" xfId="2043" xr:uid="{00000000-0005-0000-0000-0000FA070000}"/>
    <cellStyle name="입력 7" xfId="2044" xr:uid="{00000000-0005-0000-0000-0000FB070000}"/>
    <cellStyle name="입력 7 2" xfId="2045" xr:uid="{00000000-0005-0000-0000-0000FC070000}"/>
    <cellStyle name="입력 8" xfId="2046" xr:uid="{00000000-0005-0000-0000-0000FD070000}"/>
    <cellStyle name="입력 8 2" xfId="2047" xr:uid="{00000000-0005-0000-0000-0000FE070000}"/>
    <cellStyle name="입력 9" xfId="2048" xr:uid="{00000000-0005-0000-0000-0000FF070000}"/>
    <cellStyle name="자리수" xfId="2049" xr:uid="{00000000-0005-0000-0000-000000080000}"/>
    <cellStyle name="자리수0" xfId="2050" xr:uid="{00000000-0005-0000-0000-000001080000}"/>
    <cellStyle name="작업일수" xfId="2051" xr:uid="{00000000-0005-0000-0000-000002080000}"/>
    <cellStyle name="정" xfId="2052" xr:uid="{00000000-0005-0000-0000-000003080000}"/>
    <cellStyle name="제놀" xfId="2053" xr:uid="{00000000-0005-0000-0000-000004080000}"/>
    <cellStyle name="제목" xfId="2054" builtinId="15" customBuiltin="1"/>
    <cellStyle name="제목 1" xfId="2055" builtinId="16" customBuiltin="1"/>
    <cellStyle name="제목 1 10" xfId="2056" xr:uid="{00000000-0005-0000-0000-000007080000}"/>
    <cellStyle name="제목 1 11" xfId="2057" xr:uid="{00000000-0005-0000-0000-000008080000}"/>
    <cellStyle name="제목 1 12" xfId="2058" xr:uid="{00000000-0005-0000-0000-000009080000}"/>
    <cellStyle name="제목 1 13" xfId="2059" xr:uid="{00000000-0005-0000-0000-00000A080000}"/>
    <cellStyle name="제목 1 14" xfId="2060" xr:uid="{00000000-0005-0000-0000-00000B080000}"/>
    <cellStyle name="제목 1 2" xfId="2061" xr:uid="{00000000-0005-0000-0000-00000C080000}"/>
    <cellStyle name="제목 1 2 2" xfId="2062" xr:uid="{00000000-0005-0000-0000-00000D080000}"/>
    <cellStyle name="제목 1 3" xfId="2063" xr:uid="{00000000-0005-0000-0000-00000E080000}"/>
    <cellStyle name="제목 1 3 2" xfId="2064" xr:uid="{00000000-0005-0000-0000-00000F080000}"/>
    <cellStyle name="제목 1 4" xfId="2065" xr:uid="{00000000-0005-0000-0000-000010080000}"/>
    <cellStyle name="제목 1 5" xfId="2066" xr:uid="{00000000-0005-0000-0000-000011080000}"/>
    <cellStyle name="제목 1 5 2" xfId="2067" xr:uid="{00000000-0005-0000-0000-000012080000}"/>
    <cellStyle name="제목 1 6" xfId="2068" xr:uid="{00000000-0005-0000-0000-000013080000}"/>
    <cellStyle name="제목 1 6 2" xfId="2069" xr:uid="{00000000-0005-0000-0000-000014080000}"/>
    <cellStyle name="제목 1 7" xfId="2070" xr:uid="{00000000-0005-0000-0000-000015080000}"/>
    <cellStyle name="제목 1 7 2" xfId="2071" xr:uid="{00000000-0005-0000-0000-000016080000}"/>
    <cellStyle name="제목 1 8" xfId="2072" xr:uid="{00000000-0005-0000-0000-000017080000}"/>
    <cellStyle name="제목 1 8 2" xfId="2073" xr:uid="{00000000-0005-0000-0000-000018080000}"/>
    <cellStyle name="제목 1 9" xfId="2074" xr:uid="{00000000-0005-0000-0000-000019080000}"/>
    <cellStyle name="제목 10" xfId="2075" xr:uid="{00000000-0005-0000-0000-00001A080000}"/>
    <cellStyle name="제목 10 2" xfId="2076" xr:uid="{00000000-0005-0000-0000-00001B080000}"/>
    <cellStyle name="제목 11" xfId="2077" xr:uid="{00000000-0005-0000-0000-00001C080000}"/>
    <cellStyle name="제목 12" xfId="2078" xr:uid="{00000000-0005-0000-0000-00001D080000}"/>
    <cellStyle name="제목 13" xfId="2079" xr:uid="{00000000-0005-0000-0000-00001E080000}"/>
    <cellStyle name="제목 14" xfId="2080" xr:uid="{00000000-0005-0000-0000-00001F080000}"/>
    <cellStyle name="제목 14 2" xfId="2081" xr:uid="{00000000-0005-0000-0000-000020080000}"/>
    <cellStyle name="제목 15" xfId="2082" xr:uid="{00000000-0005-0000-0000-000021080000}"/>
    <cellStyle name="제목 15 2" xfId="2083" xr:uid="{00000000-0005-0000-0000-000022080000}"/>
    <cellStyle name="제목 16" xfId="2084" xr:uid="{00000000-0005-0000-0000-000023080000}"/>
    <cellStyle name="제목 17" xfId="2085" xr:uid="{00000000-0005-0000-0000-000024080000}"/>
    <cellStyle name="제목 18" xfId="2086" xr:uid="{00000000-0005-0000-0000-000025080000}"/>
    <cellStyle name="제목 19" xfId="2087" xr:uid="{00000000-0005-0000-0000-000026080000}"/>
    <cellStyle name="제목 2" xfId="2088" builtinId="17" customBuiltin="1"/>
    <cellStyle name="제목 2 10" xfId="2089" xr:uid="{00000000-0005-0000-0000-000028080000}"/>
    <cellStyle name="제목 2 11" xfId="2090" xr:uid="{00000000-0005-0000-0000-000029080000}"/>
    <cellStyle name="제목 2 12" xfId="2091" xr:uid="{00000000-0005-0000-0000-00002A080000}"/>
    <cellStyle name="제목 2 13" xfId="2092" xr:uid="{00000000-0005-0000-0000-00002B080000}"/>
    <cellStyle name="제목 2 14" xfId="2093" xr:uid="{00000000-0005-0000-0000-00002C080000}"/>
    <cellStyle name="제목 2 2" xfId="2094" xr:uid="{00000000-0005-0000-0000-00002D080000}"/>
    <cellStyle name="제목 2 2 2" xfId="2095" xr:uid="{00000000-0005-0000-0000-00002E080000}"/>
    <cellStyle name="제목 2 3" xfId="2096" xr:uid="{00000000-0005-0000-0000-00002F080000}"/>
    <cellStyle name="제목 2 3 2" xfId="2097" xr:uid="{00000000-0005-0000-0000-000030080000}"/>
    <cellStyle name="제목 2 4" xfId="2098" xr:uid="{00000000-0005-0000-0000-000031080000}"/>
    <cellStyle name="제목 2 5" xfId="2099" xr:uid="{00000000-0005-0000-0000-000032080000}"/>
    <cellStyle name="제목 2 5 2" xfId="2100" xr:uid="{00000000-0005-0000-0000-000033080000}"/>
    <cellStyle name="제목 2 6" xfId="2101" xr:uid="{00000000-0005-0000-0000-000034080000}"/>
    <cellStyle name="제목 2 6 2" xfId="2102" xr:uid="{00000000-0005-0000-0000-000035080000}"/>
    <cellStyle name="제목 2 7" xfId="2103" xr:uid="{00000000-0005-0000-0000-000036080000}"/>
    <cellStyle name="제목 2 7 2" xfId="2104" xr:uid="{00000000-0005-0000-0000-000037080000}"/>
    <cellStyle name="제목 2 8" xfId="2105" xr:uid="{00000000-0005-0000-0000-000038080000}"/>
    <cellStyle name="제목 2 8 2" xfId="2106" xr:uid="{00000000-0005-0000-0000-000039080000}"/>
    <cellStyle name="제목 2 9" xfId="2107" xr:uid="{00000000-0005-0000-0000-00003A080000}"/>
    <cellStyle name="제목 20" xfId="2108" xr:uid="{00000000-0005-0000-0000-00003B080000}"/>
    <cellStyle name="제목 21" xfId="2109" xr:uid="{00000000-0005-0000-0000-00003C080000}"/>
    <cellStyle name="제목 22" xfId="2110" xr:uid="{00000000-0005-0000-0000-00003D080000}"/>
    <cellStyle name="제목 23" xfId="2111" xr:uid="{00000000-0005-0000-0000-00003E080000}"/>
    <cellStyle name="제목 24" xfId="2112" xr:uid="{00000000-0005-0000-0000-00003F080000}"/>
    <cellStyle name="제목 25" xfId="2113" xr:uid="{00000000-0005-0000-0000-000040080000}"/>
    <cellStyle name="제목 26" xfId="2114" xr:uid="{00000000-0005-0000-0000-000041080000}"/>
    <cellStyle name="제목 27" xfId="2115" xr:uid="{00000000-0005-0000-0000-000042080000}"/>
    <cellStyle name="제목 28" xfId="2116" xr:uid="{00000000-0005-0000-0000-000043080000}"/>
    <cellStyle name="제목 29" xfId="2117" xr:uid="{00000000-0005-0000-0000-000044080000}"/>
    <cellStyle name="제목 3" xfId="2118" builtinId="18" customBuiltin="1"/>
    <cellStyle name="제목 3 10" xfId="2119" xr:uid="{00000000-0005-0000-0000-000046080000}"/>
    <cellStyle name="제목 3 11" xfId="2120" xr:uid="{00000000-0005-0000-0000-000047080000}"/>
    <cellStyle name="제목 3 12" xfId="2121" xr:uid="{00000000-0005-0000-0000-000048080000}"/>
    <cellStyle name="제목 3 13" xfId="2122" xr:uid="{00000000-0005-0000-0000-000049080000}"/>
    <cellStyle name="제목 3 14" xfId="2123" xr:uid="{00000000-0005-0000-0000-00004A080000}"/>
    <cellStyle name="제목 3 2" xfId="2124" xr:uid="{00000000-0005-0000-0000-00004B080000}"/>
    <cellStyle name="제목 3 2 2" xfId="2125" xr:uid="{00000000-0005-0000-0000-00004C080000}"/>
    <cellStyle name="제목 3 3" xfId="2126" xr:uid="{00000000-0005-0000-0000-00004D080000}"/>
    <cellStyle name="제목 3 3 2" xfId="2127" xr:uid="{00000000-0005-0000-0000-00004E080000}"/>
    <cellStyle name="제목 3 4" xfId="2128" xr:uid="{00000000-0005-0000-0000-00004F080000}"/>
    <cellStyle name="제목 3 5" xfId="2129" xr:uid="{00000000-0005-0000-0000-000050080000}"/>
    <cellStyle name="제목 3 5 2" xfId="2130" xr:uid="{00000000-0005-0000-0000-000051080000}"/>
    <cellStyle name="제목 3 6" xfId="2131" xr:uid="{00000000-0005-0000-0000-000052080000}"/>
    <cellStyle name="제목 3 6 2" xfId="2132" xr:uid="{00000000-0005-0000-0000-000053080000}"/>
    <cellStyle name="제목 3 7" xfId="2133" xr:uid="{00000000-0005-0000-0000-000054080000}"/>
    <cellStyle name="제목 3 7 2" xfId="2134" xr:uid="{00000000-0005-0000-0000-000055080000}"/>
    <cellStyle name="제목 3 8" xfId="2135" xr:uid="{00000000-0005-0000-0000-000056080000}"/>
    <cellStyle name="제목 3 8 2" xfId="2136" xr:uid="{00000000-0005-0000-0000-000057080000}"/>
    <cellStyle name="제목 3 9" xfId="2137" xr:uid="{00000000-0005-0000-0000-000058080000}"/>
    <cellStyle name="제목 30" xfId="2138" xr:uid="{00000000-0005-0000-0000-000059080000}"/>
    <cellStyle name="제목 31" xfId="2139" xr:uid="{00000000-0005-0000-0000-00005A080000}"/>
    <cellStyle name="제목 32" xfId="2140" xr:uid="{00000000-0005-0000-0000-00005B080000}"/>
    <cellStyle name="제목 33" xfId="2141" xr:uid="{00000000-0005-0000-0000-00005C080000}"/>
    <cellStyle name="제목 34" xfId="2142" xr:uid="{00000000-0005-0000-0000-00005D080000}"/>
    <cellStyle name="제목 35" xfId="2143" xr:uid="{00000000-0005-0000-0000-00005E080000}"/>
    <cellStyle name="제목 36" xfId="2144" xr:uid="{00000000-0005-0000-0000-00005F080000}"/>
    <cellStyle name="제목 37" xfId="2145" xr:uid="{00000000-0005-0000-0000-000060080000}"/>
    <cellStyle name="제목 38" xfId="2146" xr:uid="{00000000-0005-0000-0000-000061080000}"/>
    <cellStyle name="제목 39" xfId="2147" xr:uid="{00000000-0005-0000-0000-000062080000}"/>
    <cellStyle name="제목 4" xfId="2148" builtinId="19" customBuiltin="1"/>
    <cellStyle name="제목 4 10" xfId="2149" xr:uid="{00000000-0005-0000-0000-000064080000}"/>
    <cellStyle name="제목 4 11" xfId="2150" xr:uid="{00000000-0005-0000-0000-000065080000}"/>
    <cellStyle name="제목 4 12" xfId="2151" xr:uid="{00000000-0005-0000-0000-000066080000}"/>
    <cellStyle name="제목 4 13" xfId="2152" xr:uid="{00000000-0005-0000-0000-000067080000}"/>
    <cellStyle name="제목 4 14" xfId="2153" xr:uid="{00000000-0005-0000-0000-000068080000}"/>
    <cellStyle name="제목 4 2" xfId="2154" xr:uid="{00000000-0005-0000-0000-000069080000}"/>
    <cellStyle name="제목 4 2 2" xfId="2155" xr:uid="{00000000-0005-0000-0000-00006A080000}"/>
    <cellStyle name="제목 4 3" xfId="2156" xr:uid="{00000000-0005-0000-0000-00006B080000}"/>
    <cellStyle name="제목 4 3 2" xfId="2157" xr:uid="{00000000-0005-0000-0000-00006C080000}"/>
    <cellStyle name="제목 4 4" xfId="2158" xr:uid="{00000000-0005-0000-0000-00006D080000}"/>
    <cellStyle name="제목 4 5" xfId="2159" xr:uid="{00000000-0005-0000-0000-00006E080000}"/>
    <cellStyle name="제목 4 5 2" xfId="2160" xr:uid="{00000000-0005-0000-0000-00006F080000}"/>
    <cellStyle name="제목 4 6" xfId="2161" xr:uid="{00000000-0005-0000-0000-000070080000}"/>
    <cellStyle name="제목 4 6 2" xfId="2162" xr:uid="{00000000-0005-0000-0000-000071080000}"/>
    <cellStyle name="제목 4 7" xfId="2163" xr:uid="{00000000-0005-0000-0000-000072080000}"/>
    <cellStyle name="제목 4 7 2" xfId="2164" xr:uid="{00000000-0005-0000-0000-000073080000}"/>
    <cellStyle name="제목 4 8" xfId="2165" xr:uid="{00000000-0005-0000-0000-000074080000}"/>
    <cellStyle name="제목 4 8 2" xfId="2166" xr:uid="{00000000-0005-0000-0000-000075080000}"/>
    <cellStyle name="제목 4 9" xfId="2167" xr:uid="{00000000-0005-0000-0000-000076080000}"/>
    <cellStyle name="제목 40" xfId="2168" xr:uid="{00000000-0005-0000-0000-000077080000}"/>
    <cellStyle name="제목 41" xfId="2169" xr:uid="{00000000-0005-0000-0000-000078080000}"/>
    <cellStyle name="제목 42" xfId="2170" xr:uid="{00000000-0005-0000-0000-000079080000}"/>
    <cellStyle name="제목 43" xfId="2171" xr:uid="{00000000-0005-0000-0000-00007A080000}"/>
    <cellStyle name="제목 44" xfId="2172" xr:uid="{00000000-0005-0000-0000-00007B080000}"/>
    <cellStyle name="제목 45" xfId="2173" xr:uid="{00000000-0005-0000-0000-00007C080000}"/>
    <cellStyle name="제목 46" xfId="2174" xr:uid="{00000000-0005-0000-0000-00007D080000}"/>
    <cellStyle name="제목 47" xfId="2175" xr:uid="{00000000-0005-0000-0000-00007E080000}"/>
    <cellStyle name="제목 48" xfId="2176" xr:uid="{00000000-0005-0000-0000-00007F080000}"/>
    <cellStyle name="제목 49" xfId="2177" xr:uid="{00000000-0005-0000-0000-000080080000}"/>
    <cellStyle name="제목 5" xfId="2178" xr:uid="{00000000-0005-0000-0000-000081080000}"/>
    <cellStyle name="제목 50" xfId="2179" xr:uid="{00000000-0005-0000-0000-000082080000}"/>
    <cellStyle name="제목 51" xfId="2180" xr:uid="{00000000-0005-0000-0000-000083080000}"/>
    <cellStyle name="제목 52" xfId="2181" xr:uid="{00000000-0005-0000-0000-000084080000}"/>
    <cellStyle name="제목 53" xfId="2182" xr:uid="{00000000-0005-0000-0000-000085080000}"/>
    <cellStyle name="제목 6" xfId="2183" xr:uid="{00000000-0005-0000-0000-000086080000}"/>
    <cellStyle name="제목 7" xfId="2184" xr:uid="{00000000-0005-0000-0000-000087080000}"/>
    <cellStyle name="제목 8" xfId="2185" xr:uid="{00000000-0005-0000-0000-000088080000}"/>
    <cellStyle name="제목 8 2" xfId="2186" xr:uid="{00000000-0005-0000-0000-000089080000}"/>
    <cellStyle name="제목 9" xfId="2187" xr:uid="{00000000-0005-0000-0000-00008A080000}"/>
    <cellStyle name="제목1" xfId="2188" xr:uid="{00000000-0005-0000-0000-00008B080000}"/>
    <cellStyle name="제목2" xfId="2189" xr:uid="{00000000-0005-0000-0000-00008C080000}"/>
    <cellStyle name="제조번호" xfId="2190" xr:uid="{00000000-0005-0000-0000-00008D080000}"/>
    <cellStyle name="제조번호 2" xfId="2191" xr:uid="{00000000-0005-0000-0000-00008E080000}"/>
    <cellStyle name="제조번호 2 2" xfId="2192" xr:uid="{00000000-0005-0000-0000-00008F080000}"/>
    <cellStyle name="제조번호 2 2 2" xfId="2193" xr:uid="{00000000-0005-0000-0000-000090080000}"/>
    <cellStyle name="제조번호 2 2 3" xfId="2194" xr:uid="{00000000-0005-0000-0000-000091080000}"/>
    <cellStyle name="제조번호 2 3" xfId="2195" xr:uid="{00000000-0005-0000-0000-000092080000}"/>
    <cellStyle name="제조번호 2 4" xfId="2196" xr:uid="{00000000-0005-0000-0000-000093080000}"/>
    <cellStyle name="제조번호 3" xfId="2197" xr:uid="{00000000-0005-0000-0000-000094080000}"/>
    <cellStyle name="제조번호 3 2" xfId="2198" xr:uid="{00000000-0005-0000-0000-000095080000}"/>
    <cellStyle name="제조번호 3 2 2" xfId="2199" xr:uid="{00000000-0005-0000-0000-000096080000}"/>
    <cellStyle name="제조번호 3 2 3" xfId="2200" xr:uid="{00000000-0005-0000-0000-000097080000}"/>
    <cellStyle name="제조번호 3 3" xfId="2201" xr:uid="{00000000-0005-0000-0000-000098080000}"/>
    <cellStyle name="제조번호 3 4" xfId="2202" xr:uid="{00000000-0005-0000-0000-000099080000}"/>
    <cellStyle name="제조번호 4" xfId="2203" xr:uid="{00000000-0005-0000-0000-00009A080000}"/>
    <cellStyle name="제조번호 4 2" xfId="2204" xr:uid="{00000000-0005-0000-0000-00009B080000}"/>
    <cellStyle name="제조번호 4 3" xfId="2205" xr:uid="{00000000-0005-0000-0000-00009C080000}"/>
    <cellStyle name="제조번호 5" xfId="2206" xr:uid="{00000000-0005-0000-0000-00009D080000}"/>
    <cellStyle name="제조번호 6" xfId="2207" xr:uid="{00000000-0005-0000-0000-00009E080000}"/>
    <cellStyle name="좋은양식" xfId="2208" xr:uid="{00000000-0005-0000-0000-00009F080000}"/>
    <cellStyle name="좋음" xfId="2209" builtinId="26" customBuiltin="1"/>
    <cellStyle name="좋음 10" xfId="2210" xr:uid="{00000000-0005-0000-0000-0000A1080000}"/>
    <cellStyle name="좋음 11" xfId="2211" xr:uid="{00000000-0005-0000-0000-0000A2080000}"/>
    <cellStyle name="좋음 12" xfId="2212" xr:uid="{00000000-0005-0000-0000-0000A3080000}"/>
    <cellStyle name="좋음 13" xfId="2213" xr:uid="{00000000-0005-0000-0000-0000A4080000}"/>
    <cellStyle name="좋음 14" xfId="2214" xr:uid="{00000000-0005-0000-0000-0000A5080000}"/>
    <cellStyle name="좋음 15" xfId="2215" xr:uid="{00000000-0005-0000-0000-0000A6080000}"/>
    <cellStyle name="좋음 16" xfId="2216" xr:uid="{00000000-0005-0000-0000-0000A7080000}"/>
    <cellStyle name="좋음 17" xfId="2217" xr:uid="{00000000-0005-0000-0000-0000A8080000}"/>
    <cellStyle name="좋음 2" xfId="2218" xr:uid="{00000000-0005-0000-0000-0000A9080000}"/>
    <cellStyle name="좋음 2 2" xfId="2219" xr:uid="{00000000-0005-0000-0000-0000AA080000}"/>
    <cellStyle name="좋음 3" xfId="2220" xr:uid="{00000000-0005-0000-0000-0000AB080000}"/>
    <cellStyle name="좋음 3 2" xfId="2221" xr:uid="{00000000-0005-0000-0000-0000AC080000}"/>
    <cellStyle name="좋음 4" xfId="2222" xr:uid="{00000000-0005-0000-0000-0000AD080000}"/>
    <cellStyle name="좋음 5" xfId="2223" xr:uid="{00000000-0005-0000-0000-0000AE080000}"/>
    <cellStyle name="좋음 5 2" xfId="2224" xr:uid="{00000000-0005-0000-0000-0000AF080000}"/>
    <cellStyle name="좋음 5 3" xfId="2225" xr:uid="{00000000-0005-0000-0000-0000B0080000}"/>
    <cellStyle name="좋음 6" xfId="2226" xr:uid="{00000000-0005-0000-0000-0000B1080000}"/>
    <cellStyle name="좋음 6 2" xfId="2227" xr:uid="{00000000-0005-0000-0000-0000B2080000}"/>
    <cellStyle name="좋음 7" xfId="2228" xr:uid="{00000000-0005-0000-0000-0000B3080000}"/>
    <cellStyle name="좋음 7 2" xfId="2229" xr:uid="{00000000-0005-0000-0000-0000B4080000}"/>
    <cellStyle name="좋음 8" xfId="2230" xr:uid="{00000000-0005-0000-0000-0000B5080000}"/>
    <cellStyle name="좋음 8 2" xfId="2231" xr:uid="{00000000-0005-0000-0000-0000B6080000}"/>
    <cellStyle name="좋음 9" xfId="2232" xr:uid="{00000000-0005-0000-0000-0000B7080000}"/>
    <cellStyle name="증감" xfId="2233" xr:uid="{00000000-0005-0000-0000-0000B8080000}"/>
    <cellStyle name="지정되지 않음" xfId="2234" xr:uid="{00000000-0005-0000-0000-0000B9080000}"/>
    <cellStyle name="钎霖_惫寇bal" xfId="2235" xr:uid="{00000000-0005-0000-0000-0000BA080000}"/>
    <cellStyle name="千分位[0]_GARMENT STEP FORM HK" xfId="2236" xr:uid="{00000000-0005-0000-0000-0000BB080000}"/>
    <cellStyle name="千分位_GARMENT STEP FORM HK" xfId="2237" xr:uid="{00000000-0005-0000-0000-0000BC080000}"/>
    <cellStyle name="출력" xfId="2238" builtinId="21" customBuiltin="1"/>
    <cellStyle name="출력 10" xfId="2239" xr:uid="{00000000-0005-0000-0000-0000BE080000}"/>
    <cellStyle name="출력 11" xfId="2240" xr:uid="{00000000-0005-0000-0000-0000BF080000}"/>
    <cellStyle name="출력 12" xfId="2241" xr:uid="{00000000-0005-0000-0000-0000C0080000}"/>
    <cellStyle name="출력 13" xfId="2242" xr:uid="{00000000-0005-0000-0000-0000C1080000}"/>
    <cellStyle name="출력 14" xfId="2243" xr:uid="{00000000-0005-0000-0000-0000C2080000}"/>
    <cellStyle name="출력 15" xfId="2244" xr:uid="{00000000-0005-0000-0000-0000C3080000}"/>
    <cellStyle name="출력 15 2" xfId="2245" xr:uid="{00000000-0005-0000-0000-0000C4080000}"/>
    <cellStyle name="출력 15 3" xfId="2246" xr:uid="{00000000-0005-0000-0000-0000C5080000}"/>
    <cellStyle name="출력 16" xfId="2247" xr:uid="{00000000-0005-0000-0000-0000C6080000}"/>
    <cellStyle name="출력 16 2" xfId="2248" xr:uid="{00000000-0005-0000-0000-0000C7080000}"/>
    <cellStyle name="출력 16 3" xfId="2249" xr:uid="{00000000-0005-0000-0000-0000C8080000}"/>
    <cellStyle name="출력 17" xfId="2250" xr:uid="{00000000-0005-0000-0000-0000C9080000}"/>
    <cellStyle name="출력 2" xfId="2251" xr:uid="{00000000-0005-0000-0000-0000CA080000}"/>
    <cellStyle name="출력 2 2" xfId="2252" xr:uid="{00000000-0005-0000-0000-0000CB080000}"/>
    <cellStyle name="출력 3" xfId="2253" xr:uid="{00000000-0005-0000-0000-0000CC080000}"/>
    <cellStyle name="출력 3 2" xfId="2254" xr:uid="{00000000-0005-0000-0000-0000CD080000}"/>
    <cellStyle name="출력 4" xfId="2255" xr:uid="{00000000-0005-0000-0000-0000CE080000}"/>
    <cellStyle name="출력 5" xfId="2256" xr:uid="{00000000-0005-0000-0000-0000CF080000}"/>
    <cellStyle name="출력 5 2" xfId="2257" xr:uid="{00000000-0005-0000-0000-0000D0080000}"/>
    <cellStyle name="출력 5 3" xfId="2258" xr:uid="{00000000-0005-0000-0000-0000D1080000}"/>
    <cellStyle name="출력 6" xfId="2259" xr:uid="{00000000-0005-0000-0000-0000D2080000}"/>
    <cellStyle name="출력 6 2" xfId="2260" xr:uid="{00000000-0005-0000-0000-0000D3080000}"/>
    <cellStyle name="출력 7" xfId="2261" xr:uid="{00000000-0005-0000-0000-0000D4080000}"/>
    <cellStyle name="출력 7 2" xfId="2262" xr:uid="{00000000-0005-0000-0000-0000D5080000}"/>
    <cellStyle name="출력 8" xfId="2263" xr:uid="{00000000-0005-0000-0000-0000D6080000}"/>
    <cellStyle name="출력 8 2" xfId="2264" xr:uid="{00000000-0005-0000-0000-0000D7080000}"/>
    <cellStyle name="출력 9" xfId="2265" xr:uid="{00000000-0005-0000-0000-0000D8080000}"/>
    <cellStyle name="캅셀" xfId="2266" xr:uid="{00000000-0005-0000-0000-0000D9080000}"/>
    <cellStyle name="콤냡?&lt;_x000f_$??: `1_1" xfId="2267" xr:uid="{00000000-0005-0000-0000-0000DA080000}"/>
    <cellStyle name="콤냡?&lt;_x000f_$??:_x0009_`1_1" xfId="2268" xr:uid="{00000000-0005-0000-0000-0000DB080000}"/>
    <cellStyle name="콤마 [0]" xfId="2269" xr:uid="{00000000-0005-0000-0000-0000DC080000}"/>
    <cellStyle name="콤마[0]" xfId="2270" xr:uid="{00000000-0005-0000-0000-0000DD080000}"/>
    <cellStyle name="콤마[0] 2" xfId="2271" xr:uid="{00000000-0005-0000-0000-0000DE080000}"/>
    <cellStyle name="콤마_  RANGE " xfId="2272" xr:uid="{00000000-0005-0000-0000-0000DF080000}"/>
    <cellStyle name="콥막 [0]" xfId="2273" xr:uid="{00000000-0005-0000-0000-0000E0080000}"/>
    <cellStyle name="통T" xfId="2274" xr:uid="{00000000-0005-0000-0000-0000E1080000}"/>
    <cellStyle name="通貨 [0.00]_BOND SELL LIST" xfId="2275" xr:uid="{00000000-0005-0000-0000-0000E2080000}"/>
    <cellStyle name="통화 [0] 2" xfId="2276" xr:uid="{00000000-0005-0000-0000-0000E3080000}"/>
    <cellStyle name="통화 2" xfId="2277" xr:uid="{00000000-0005-0000-0000-0000E4080000}"/>
    <cellStyle name="通貨_1.貸付ﾃﾞｰﾀベース" xfId="2278" xr:uid="{00000000-0005-0000-0000-0000E5080000}"/>
    <cellStyle name="톶확 [0]" xfId="2279" xr:uid="{00000000-0005-0000-0000-0000E6080000}"/>
    <cellStyle name="트럭" xfId="2280" xr:uid="{00000000-0005-0000-0000-0000E7080000}"/>
    <cellStyle name="퍼센트" xfId="2281" xr:uid="{00000000-0005-0000-0000-0000E8080000}"/>
    <cellStyle name="평" xfId="2282" xr:uid="{00000000-0005-0000-0000-0000E9080000}"/>
    <cellStyle name="평 2" xfId="2283" xr:uid="{00000000-0005-0000-0000-0000EA080000}"/>
    <cellStyle name="평_부실채권_정리_조사표_20091128" xfId="2284" xr:uid="{00000000-0005-0000-0000-0000EB080000}"/>
    <cellStyle name="평_부실채권_정리_조사표_20091128 2" xfId="2285" xr:uid="{00000000-0005-0000-0000-0000EC080000}"/>
    <cellStyle name="평_신용위험및중기대부문 조사표(081109)_펀드담보대출" xfId="2286" xr:uid="{00000000-0005-0000-0000-0000ED080000}"/>
    <cellStyle name="평_신용위험및중기대부문 조사표(081109)_펀드담보대출 2" xfId="2287" xr:uid="{00000000-0005-0000-0000-0000EE080000}"/>
    <cellStyle name="평_신한_0902" xfId="2288" xr:uid="{00000000-0005-0000-0000-0000EF080000}"/>
    <cellStyle name="평_신한_0902 2" xfId="2289" xr:uid="{00000000-0005-0000-0000-0000F0080000}"/>
    <cellStyle name="표준" xfId="0" builtinId="0"/>
    <cellStyle name="표준 10" xfId="2290" xr:uid="{00000000-0005-0000-0000-0000F2080000}"/>
    <cellStyle name="표준 10 2" xfId="2291" xr:uid="{00000000-0005-0000-0000-0000F3080000}"/>
    <cellStyle name="표준 10 3" xfId="2292" xr:uid="{00000000-0005-0000-0000-0000F4080000}"/>
    <cellStyle name="표준 100" xfId="2293" xr:uid="{00000000-0005-0000-0000-0000F5080000}"/>
    <cellStyle name="표준 101" xfId="2294" xr:uid="{00000000-0005-0000-0000-0000F6080000}"/>
    <cellStyle name="표준 102" xfId="2295" xr:uid="{00000000-0005-0000-0000-0000F7080000}"/>
    <cellStyle name="표준 11" xfId="2296" xr:uid="{00000000-0005-0000-0000-0000F8080000}"/>
    <cellStyle name="표준 11 2" xfId="2297" xr:uid="{00000000-0005-0000-0000-0000F9080000}"/>
    <cellStyle name="표준 11 3" xfId="2298" xr:uid="{00000000-0005-0000-0000-0000FA080000}"/>
    <cellStyle name="표준 11 4" xfId="2299" xr:uid="{00000000-0005-0000-0000-0000FB080000}"/>
    <cellStyle name="표준 12" xfId="2300" xr:uid="{00000000-0005-0000-0000-0000FC080000}"/>
    <cellStyle name="표준 12 2" xfId="2301" xr:uid="{00000000-0005-0000-0000-0000FD080000}"/>
    <cellStyle name="표준 12 3" xfId="2302" xr:uid="{00000000-0005-0000-0000-0000FE080000}"/>
    <cellStyle name="표준 13" xfId="2303" xr:uid="{00000000-0005-0000-0000-0000FF080000}"/>
    <cellStyle name="표준 13 2" xfId="2304" xr:uid="{00000000-0005-0000-0000-000000090000}"/>
    <cellStyle name="표준 14" xfId="2305" xr:uid="{00000000-0005-0000-0000-000001090000}"/>
    <cellStyle name="표준 14 2" xfId="2306" xr:uid="{00000000-0005-0000-0000-000002090000}"/>
    <cellStyle name="표준 15" xfId="2307" xr:uid="{00000000-0005-0000-0000-000003090000}"/>
    <cellStyle name="표준 15 2" xfId="2308" xr:uid="{00000000-0005-0000-0000-000004090000}"/>
    <cellStyle name="표준 15 3" xfId="2309" xr:uid="{00000000-0005-0000-0000-000005090000}"/>
    <cellStyle name="표준 16" xfId="2310" xr:uid="{00000000-0005-0000-0000-000006090000}"/>
    <cellStyle name="표준 16 2" xfId="2311" xr:uid="{00000000-0005-0000-0000-000007090000}"/>
    <cellStyle name="표준 17" xfId="2312" xr:uid="{00000000-0005-0000-0000-000008090000}"/>
    <cellStyle name="표준 18" xfId="2313" xr:uid="{00000000-0005-0000-0000-000009090000}"/>
    <cellStyle name="표준 19" xfId="2314" xr:uid="{00000000-0005-0000-0000-00000A090000}"/>
    <cellStyle name="표준 2" xfId="2315" xr:uid="{00000000-0005-0000-0000-00000B090000}"/>
    <cellStyle name="표준 2 10" xfId="2316" xr:uid="{00000000-0005-0000-0000-00000C090000}"/>
    <cellStyle name="표준 2 11" xfId="2317" xr:uid="{00000000-0005-0000-0000-00000D090000}"/>
    <cellStyle name="표준 2 12" xfId="2318" xr:uid="{00000000-0005-0000-0000-00000E090000}"/>
    <cellStyle name="표준 2 13" xfId="2319" xr:uid="{00000000-0005-0000-0000-00000F090000}"/>
    <cellStyle name="표준 2 14" xfId="2320" xr:uid="{00000000-0005-0000-0000-000010090000}"/>
    <cellStyle name="표준 2 2" xfId="2321" xr:uid="{00000000-0005-0000-0000-000011090000}"/>
    <cellStyle name="표준 2 2 2" xfId="2322" xr:uid="{00000000-0005-0000-0000-000012090000}"/>
    <cellStyle name="표준 2 2 2 2" xfId="2323" xr:uid="{00000000-0005-0000-0000-000013090000}"/>
    <cellStyle name="표준 2 2 3" xfId="2324" xr:uid="{00000000-0005-0000-0000-000014090000}"/>
    <cellStyle name="표준 2 3" xfId="2325" xr:uid="{00000000-0005-0000-0000-000015090000}"/>
    <cellStyle name="표준 2 3 2" xfId="2326" xr:uid="{00000000-0005-0000-0000-000016090000}"/>
    <cellStyle name="표준 2 3 2 2" xfId="2327" xr:uid="{00000000-0005-0000-0000-000017090000}"/>
    <cellStyle name="표준 2 3 3" xfId="2328" xr:uid="{00000000-0005-0000-0000-000018090000}"/>
    <cellStyle name="표준 2 3 4" xfId="2329" xr:uid="{00000000-0005-0000-0000-000019090000}"/>
    <cellStyle name="표준 2 3 5" xfId="2330" xr:uid="{00000000-0005-0000-0000-00001A090000}"/>
    <cellStyle name="표준 2 3_KB" xfId="2331" xr:uid="{00000000-0005-0000-0000-00001B090000}"/>
    <cellStyle name="표준 2 4" xfId="2332" xr:uid="{00000000-0005-0000-0000-00001C090000}"/>
    <cellStyle name="표준 2 4 2" xfId="2333" xr:uid="{00000000-0005-0000-0000-00001D090000}"/>
    <cellStyle name="표준 2 4 3" xfId="2334" xr:uid="{00000000-0005-0000-0000-00001E090000}"/>
    <cellStyle name="표준 2 5" xfId="2335" xr:uid="{00000000-0005-0000-0000-00001F090000}"/>
    <cellStyle name="표준 2 5 2" xfId="2336" xr:uid="{00000000-0005-0000-0000-000020090000}"/>
    <cellStyle name="표준 2 5 3" xfId="2337" xr:uid="{00000000-0005-0000-0000-000021090000}"/>
    <cellStyle name="표준 2 53" xfId="2338" xr:uid="{00000000-0005-0000-0000-000022090000}"/>
    <cellStyle name="표준 2 6" xfId="2339" xr:uid="{00000000-0005-0000-0000-000023090000}"/>
    <cellStyle name="표준 2 7" xfId="2340" xr:uid="{00000000-0005-0000-0000-000024090000}"/>
    <cellStyle name="표준 2 8" xfId="2341" xr:uid="{00000000-0005-0000-0000-000025090000}"/>
    <cellStyle name="표준 2 9" xfId="2342" xr:uid="{00000000-0005-0000-0000-000026090000}"/>
    <cellStyle name="표준 2_★(계리 보고양식) 대한생명 RBC 2009년 9월기준" xfId="2343" xr:uid="{00000000-0005-0000-0000-000027090000}"/>
    <cellStyle name="표준 20" xfId="2344" xr:uid="{00000000-0005-0000-0000-000028090000}"/>
    <cellStyle name="표준 21" xfId="2345" xr:uid="{00000000-0005-0000-0000-000029090000}"/>
    <cellStyle name="표준 22" xfId="2346" xr:uid="{00000000-0005-0000-0000-00002A090000}"/>
    <cellStyle name="표준 23" xfId="2347" xr:uid="{00000000-0005-0000-0000-00002B090000}"/>
    <cellStyle name="표준 24" xfId="2348" xr:uid="{00000000-0005-0000-0000-00002C090000}"/>
    <cellStyle name="표준 25" xfId="2349" xr:uid="{00000000-0005-0000-0000-00002D090000}"/>
    <cellStyle name="표준 26" xfId="2350" xr:uid="{00000000-0005-0000-0000-00002E090000}"/>
    <cellStyle name="표준 27" xfId="2351" xr:uid="{00000000-0005-0000-0000-00002F090000}"/>
    <cellStyle name="표준 28" xfId="2352" xr:uid="{00000000-0005-0000-0000-000030090000}"/>
    <cellStyle name="표준 29" xfId="2353" xr:uid="{00000000-0005-0000-0000-000031090000}"/>
    <cellStyle name="표준 3" xfId="2354" xr:uid="{00000000-0005-0000-0000-000032090000}"/>
    <cellStyle name="표준 3 2" xfId="2355" xr:uid="{00000000-0005-0000-0000-000033090000}"/>
    <cellStyle name="표준 3 3" xfId="2356" xr:uid="{00000000-0005-0000-0000-000034090000}"/>
    <cellStyle name="표준 3 4" xfId="2357" xr:uid="{00000000-0005-0000-0000-000035090000}"/>
    <cellStyle name="표준 3 4 2" xfId="2358" xr:uid="{00000000-0005-0000-0000-000036090000}"/>
    <cellStyle name="표준 3 5" xfId="2359" xr:uid="{00000000-0005-0000-0000-000037090000}"/>
    <cellStyle name="표준 3 6" xfId="2360" xr:uid="{00000000-0005-0000-0000-000038090000}"/>
    <cellStyle name="표준 3_IBK" xfId="2361" xr:uid="{00000000-0005-0000-0000-000039090000}"/>
    <cellStyle name="표준 30" xfId="2362" xr:uid="{00000000-0005-0000-0000-00003A090000}"/>
    <cellStyle name="표준 31" xfId="2363" xr:uid="{00000000-0005-0000-0000-00003B090000}"/>
    <cellStyle name="표준 32" xfId="2364" xr:uid="{00000000-0005-0000-0000-00003C090000}"/>
    <cellStyle name="표준 33" xfId="2365" xr:uid="{00000000-0005-0000-0000-00003D090000}"/>
    <cellStyle name="표준 34" xfId="2366" xr:uid="{00000000-0005-0000-0000-00003E090000}"/>
    <cellStyle name="표준 35" xfId="2367" xr:uid="{00000000-0005-0000-0000-00003F090000}"/>
    <cellStyle name="표준 36" xfId="2368" xr:uid="{00000000-0005-0000-0000-000040090000}"/>
    <cellStyle name="표준 37" xfId="2369" xr:uid="{00000000-0005-0000-0000-000041090000}"/>
    <cellStyle name="표준 38" xfId="2370" xr:uid="{00000000-0005-0000-0000-000042090000}"/>
    <cellStyle name="표준 39" xfId="2371" xr:uid="{00000000-0005-0000-0000-000043090000}"/>
    <cellStyle name="표준 4" xfId="2372" xr:uid="{00000000-0005-0000-0000-000044090000}"/>
    <cellStyle name="표준 4 2" xfId="2373" xr:uid="{00000000-0005-0000-0000-000045090000}"/>
    <cellStyle name="표준 4 2 2" xfId="2374" xr:uid="{00000000-0005-0000-0000-000046090000}"/>
    <cellStyle name="표준 4 2 3" xfId="2375" xr:uid="{00000000-0005-0000-0000-000047090000}"/>
    <cellStyle name="표준 4 3" xfId="2376" xr:uid="{00000000-0005-0000-0000-000048090000}"/>
    <cellStyle name="표준 4 4" xfId="2377" xr:uid="{00000000-0005-0000-0000-000049090000}"/>
    <cellStyle name="표준 4 53" xfId="2378" xr:uid="{00000000-0005-0000-0000-00004A090000}"/>
    <cellStyle name="표준 40" xfId="2379" xr:uid="{00000000-0005-0000-0000-00004B090000}"/>
    <cellStyle name="표준 41" xfId="2380" xr:uid="{00000000-0005-0000-0000-00004C090000}"/>
    <cellStyle name="표준 42" xfId="2381" xr:uid="{00000000-0005-0000-0000-00004D090000}"/>
    <cellStyle name="표준 43" xfId="2382" xr:uid="{00000000-0005-0000-0000-00004E090000}"/>
    <cellStyle name="표준 44" xfId="2383" xr:uid="{00000000-0005-0000-0000-00004F090000}"/>
    <cellStyle name="표준 45" xfId="2384" xr:uid="{00000000-0005-0000-0000-000050090000}"/>
    <cellStyle name="표준 46" xfId="2385" xr:uid="{00000000-0005-0000-0000-000051090000}"/>
    <cellStyle name="표준 47" xfId="2386" xr:uid="{00000000-0005-0000-0000-000052090000}"/>
    <cellStyle name="표준 48" xfId="2387" xr:uid="{00000000-0005-0000-0000-000053090000}"/>
    <cellStyle name="표준 49" xfId="2388" xr:uid="{00000000-0005-0000-0000-000054090000}"/>
    <cellStyle name="표준 5" xfId="2389" xr:uid="{00000000-0005-0000-0000-000055090000}"/>
    <cellStyle name="표준 5 2" xfId="2390" xr:uid="{00000000-0005-0000-0000-000056090000}"/>
    <cellStyle name="표준 5 3" xfId="2391" xr:uid="{00000000-0005-0000-0000-000057090000}"/>
    <cellStyle name="표준 5 4" xfId="2392" xr:uid="{00000000-0005-0000-0000-000058090000}"/>
    <cellStyle name="표준 5 5" xfId="2393" xr:uid="{00000000-0005-0000-0000-000059090000}"/>
    <cellStyle name="표준 5 6" xfId="2394" xr:uid="{00000000-0005-0000-0000-00005A090000}"/>
    <cellStyle name="표준 50" xfId="2395" xr:uid="{00000000-0005-0000-0000-00005B090000}"/>
    <cellStyle name="표준 51" xfId="2396" xr:uid="{00000000-0005-0000-0000-00005C090000}"/>
    <cellStyle name="표준 52" xfId="2397" xr:uid="{00000000-0005-0000-0000-00005D090000}"/>
    <cellStyle name="표준 53" xfId="2398" xr:uid="{00000000-0005-0000-0000-00005E090000}"/>
    <cellStyle name="표준 54" xfId="2399" xr:uid="{00000000-0005-0000-0000-00005F090000}"/>
    <cellStyle name="표준 55" xfId="2400" xr:uid="{00000000-0005-0000-0000-000060090000}"/>
    <cellStyle name="표준 56" xfId="2401" xr:uid="{00000000-0005-0000-0000-000061090000}"/>
    <cellStyle name="표준 57" xfId="2402" xr:uid="{00000000-0005-0000-0000-000062090000}"/>
    <cellStyle name="표준 58" xfId="2403" xr:uid="{00000000-0005-0000-0000-000063090000}"/>
    <cellStyle name="표준 59" xfId="2404" xr:uid="{00000000-0005-0000-0000-000064090000}"/>
    <cellStyle name="표준 6" xfId="2405" xr:uid="{00000000-0005-0000-0000-000065090000}"/>
    <cellStyle name="표준 6 2" xfId="2406" xr:uid="{00000000-0005-0000-0000-000066090000}"/>
    <cellStyle name="표준 6 3" xfId="2407" xr:uid="{00000000-0005-0000-0000-000067090000}"/>
    <cellStyle name="표준 6 4" xfId="2408" xr:uid="{00000000-0005-0000-0000-000068090000}"/>
    <cellStyle name="표준 60" xfId="2409" xr:uid="{00000000-0005-0000-0000-000069090000}"/>
    <cellStyle name="표준 61" xfId="2410" xr:uid="{00000000-0005-0000-0000-00006A090000}"/>
    <cellStyle name="표준 62" xfId="2411" xr:uid="{00000000-0005-0000-0000-00006B090000}"/>
    <cellStyle name="표준 63" xfId="2412" xr:uid="{00000000-0005-0000-0000-00006C090000}"/>
    <cellStyle name="표준 64" xfId="2413" xr:uid="{00000000-0005-0000-0000-00006D090000}"/>
    <cellStyle name="표준 65" xfId="2414" xr:uid="{00000000-0005-0000-0000-00006E090000}"/>
    <cellStyle name="표준 66" xfId="2415" xr:uid="{00000000-0005-0000-0000-00006F090000}"/>
    <cellStyle name="표준 67" xfId="2416" xr:uid="{00000000-0005-0000-0000-000070090000}"/>
    <cellStyle name="표준 68" xfId="2417" xr:uid="{00000000-0005-0000-0000-000071090000}"/>
    <cellStyle name="표준 69" xfId="2418" xr:uid="{00000000-0005-0000-0000-000072090000}"/>
    <cellStyle name="표준 7" xfId="2419" xr:uid="{00000000-0005-0000-0000-000073090000}"/>
    <cellStyle name="표준 7 2" xfId="2420" xr:uid="{00000000-0005-0000-0000-000074090000}"/>
    <cellStyle name="표준 7 2 2" xfId="2421" xr:uid="{00000000-0005-0000-0000-000075090000}"/>
    <cellStyle name="표준 70" xfId="2422" xr:uid="{00000000-0005-0000-0000-000076090000}"/>
    <cellStyle name="표준 71" xfId="2423" xr:uid="{00000000-0005-0000-0000-000077090000}"/>
    <cellStyle name="표준 72" xfId="2424" xr:uid="{00000000-0005-0000-0000-000078090000}"/>
    <cellStyle name="표준 73" xfId="2425" xr:uid="{00000000-0005-0000-0000-000079090000}"/>
    <cellStyle name="표준 74" xfId="2426" xr:uid="{00000000-0005-0000-0000-00007A090000}"/>
    <cellStyle name="표준 75" xfId="2427" xr:uid="{00000000-0005-0000-0000-00007B090000}"/>
    <cellStyle name="표준 76" xfId="2428" xr:uid="{00000000-0005-0000-0000-00007C090000}"/>
    <cellStyle name="표준 77" xfId="2429" xr:uid="{00000000-0005-0000-0000-00007D090000}"/>
    <cellStyle name="표준 78" xfId="2430" xr:uid="{00000000-0005-0000-0000-00007E090000}"/>
    <cellStyle name="표준 79" xfId="2431" xr:uid="{00000000-0005-0000-0000-00007F090000}"/>
    <cellStyle name="표준 8" xfId="2432" xr:uid="{00000000-0005-0000-0000-000080090000}"/>
    <cellStyle name="표준 8 2" xfId="2433" xr:uid="{00000000-0005-0000-0000-000081090000}"/>
    <cellStyle name="표준 8 3" xfId="2434" xr:uid="{00000000-0005-0000-0000-000082090000}"/>
    <cellStyle name="표준 80" xfId="2435" xr:uid="{00000000-0005-0000-0000-000083090000}"/>
    <cellStyle name="표준 81" xfId="2436" xr:uid="{00000000-0005-0000-0000-000084090000}"/>
    <cellStyle name="표준 82" xfId="2437" xr:uid="{00000000-0005-0000-0000-000085090000}"/>
    <cellStyle name="표준 83" xfId="2438" xr:uid="{00000000-0005-0000-0000-000086090000}"/>
    <cellStyle name="표준 84" xfId="2439" xr:uid="{00000000-0005-0000-0000-000087090000}"/>
    <cellStyle name="표준 85" xfId="2440" xr:uid="{00000000-0005-0000-0000-000088090000}"/>
    <cellStyle name="표준 86" xfId="2441" xr:uid="{00000000-0005-0000-0000-000089090000}"/>
    <cellStyle name="표준 87" xfId="2442" xr:uid="{00000000-0005-0000-0000-00008A090000}"/>
    <cellStyle name="표준 88" xfId="2443" xr:uid="{00000000-0005-0000-0000-00008B090000}"/>
    <cellStyle name="표준 89" xfId="2444" xr:uid="{00000000-0005-0000-0000-00008C090000}"/>
    <cellStyle name="표준 9" xfId="2445" xr:uid="{00000000-0005-0000-0000-00008D090000}"/>
    <cellStyle name="표준 9 2" xfId="2446" xr:uid="{00000000-0005-0000-0000-00008E090000}"/>
    <cellStyle name="표준 90" xfId="2447" xr:uid="{00000000-0005-0000-0000-00008F090000}"/>
    <cellStyle name="표준 91" xfId="2448" xr:uid="{00000000-0005-0000-0000-000090090000}"/>
    <cellStyle name="표준 92" xfId="2449" xr:uid="{00000000-0005-0000-0000-000091090000}"/>
    <cellStyle name="표준 93" xfId="2450" xr:uid="{00000000-0005-0000-0000-000092090000}"/>
    <cellStyle name="표준 94" xfId="2451" xr:uid="{00000000-0005-0000-0000-000093090000}"/>
    <cellStyle name="표준 95" xfId="2452" xr:uid="{00000000-0005-0000-0000-000094090000}"/>
    <cellStyle name="표준 96" xfId="2453" xr:uid="{00000000-0005-0000-0000-000095090000}"/>
    <cellStyle name="표준 97" xfId="2454" xr:uid="{00000000-0005-0000-0000-000096090000}"/>
    <cellStyle name="표준 98" xfId="2455" xr:uid="{00000000-0005-0000-0000-000097090000}"/>
    <cellStyle name="표준 99" xfId="2456" xr:uid="{00000000-0005-0000-0000-000098090000}"/>
    <cellStyle name="標準_1.貸付ﾃﾞｰﾀベース" xfId="2457" xr:uid="{00000000-0005-0000-0000-000099090000}"/>
    <cellStyle name="표준_2003년생협통계" xfId="2458" xr:uid="{00000000-0005-0000-0000-00009A090000}"/>
    <cellStyle name="標準_Akia(F）-8" xfId="2459" xr:uid="{00000000-0005-0000-0000-00009B090000}"/>
    <cellStyle name="표준1" xfId="2460" xr:uid="{00000000-0005-0000-0000-00009C090000}"/>
    <cellStyle name="하이퍼링크 2" xfId="2461" xr:uid="{00000000-0005-0000-0000-00009D090000}"/>
    <cellStyle name="하이퍼링크 3" xfId="2462" xr:uid="{00000000-0005-0000-0000-00009E090000}"/>
    <cellStyle name="하이퍼링크 4" xfId="2463" xr:uid="{00000000-0005-0000-0000-00009F090000}"/>
    <cellStyle name="하이퍼링크 4 2" xfId="2464" xr:uid="{00000000-0005-0000-0000-0000A0090000}"/>
    <cellStyle name="하이퍼링크 5" xfId="2465" xr:uid="{00000000-0005-0000-0000-0000A1090000}"/>
    <cellStyle name="하이퍼링크 6" xfId="2466" xr:uid="{00000000-0005-0000-0000-0000A2090000}"/>
    <cellStyle name="하이퍼링크 7" xfId="2467" xr:uid="{00000000-0005-0000-0000-0000A3090000}"/>
    <cellStyle name="합산" xfId="2468" xr:uid="{00000000-0005-0000-0000-0000A4090000}"/>
    <cellStyle name="桁?切り [0.00]_FLCCHECKTOKYO(0106)" xfId="2469" xr:uid="{00000000-0005-0000-0000-0000A5090000}"/>
    <cellStyle name="桁?切り_FLCCHECKTOKYO(0106)" xfId="2470" xr:uid="{00000000-0005-0000-0000-0000A6090000}"/>
    <cellStyle name="桁区切り [0.00]_FLCCHECKTOKYO(0106)" xfId="2471" xr:uid="{00000000-0005-0000-0000-0000A7090000}"/>
    <cellStyle name="桁区切り_1.貸付ﾃﾞｰﾀベース" xfId="2472" xr:uid="{00000000-0005-0000-0000-0000A8090000}"/>
    <cellStyle name="화폐" xfId="2473" xr:uid="{00000000-0005-0000-0000-0000A9090000}"/>
    <cellStyle name="貨幣 [0]_GARMENT STEP FORM HK" xfId="2474" xr:uid="{00000000-0005-0000-0000-0000AA090000}"/>
    <cellStyle name="貨幣_GARMENT STEP FORM HK" xfId="2475" xr:uid="{00000000-0005-0000-0000-0000AB090000}"/>
    <cellStyle name="화폐기호" xfId="2476" xr:uid="{00000000-0005-0000-0000-0000AC090000}"/>
    <cellStyle name="화폐기호0" xfId="2477" xr:uid="{00000000-0005-0000-0000-0000AD090000}"/>
    <cellStyle name="확인" xfId="2478" xr:uid="{00000000-0005-0000-0000-0000AE09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opLeftCell="A25" zoomScaleNormal="100" zoomScaleSheetLayoutView="90" workbookViewId="0">
      <pane xSplit="1" topLeftCell="B1" activePane="topRight" state="frozen"/>
      <selection activeCell="P22" sqref="P22"/>
      <selection pane="topRight" activeCell="B31" sqref="B31:U41"/>
    </sheetView>
  </sheetViews>
  <sheetFormatPr defaultColWidth="8.77734375" defaultRowHeight="12.95" customHeight="1"/>
  <cols>
    <col min="1" max="1" width="11.77734375" style="31" customWidth="1"/>
    <col min="2" max="13" width="11.77734375" style="20" customWidth="1"/>
    <col min="14" max="21" width="11.77734375" style="22" customWidth="1"/>
    <col min="22" max="16384" width="8.77734375" style="24"/>
  </cols>
  <sheetData>
    <row r="1" spans="1:21" ht="15" customHeight="1">
      <c r="F1" s="104"/>
      <c r="H1" s="104"/>
      <c r="I1" s="104"/>
      <c r="Q1" s="105"/>
      <c r="R1" s="105"/>
      <c r="S1" s="105"/>
    </row>
    <row r="2" spans="1:21" ht="15" customHeight="1">
      <c r="A2" s="19" t="s">
        <v>38</v>
      </c>
      <c r="F2" s="104"/>
      <c r="H2" s="104"/>
      <c r="I2" s="104"/>
      <c r="J2" s="23"/>
      <c r="Q2" s="105"/>
      <c r="R2" s="105"/>
      <c r="S2" s="105"/>
    </row>
    <row r="3" spans="1:21" ht="15" customHeight="1">
      <c r="A3" s="19" t="s">
        <v>39</v>
      </c>
      <c r="F3" s="30"/>
      <c r="H3" s="104"/>
      <c r="I3" s="104"/>
      <c r="J3" s="23"/>
      <c r="Q3" s="105"/>
      <c r="R3" s="105"/>
      <c r="S3" s="105"/>
    </row>
    <row r="4" spans="1:21" ht="15" customHeight="1" thickBot="1">
      <c r="A4" s="25"/>
      <c r="B4" s="21"/>
      <c r="C4" s="21"/>
      <c r="D4" s="21"/>
      <c r="E4" s="21"/>
      <c r="F4" s="5"/>
      <c r="G4" s="21"/>
      <c r="H4" s="5"/>
      <c r="I4" s="21"/>
      <c r="J4" s="21"/>
      <c r="K4" s="21"/>
      <c r="L4" s="21"/>
      <c r="M4" s="21"/>
      <c r="P4" s="105"/>
      <c r="Q4" s="105"/>
      <c r="R4" s="105"/>
      <c r="U4" s="27" t="s">
        <v>203</v>
      </c>
    </row>
    <row r="5" spans="1:21" ht="15" customHeight="1">
      <c r="A5" s="515" t="s">
        <v>204</v>
      </c>
      <c r="B5" s="506" t="s">
        <v>43</v>
      </c>
      <c r="C5" s="507"/>
      <c r="D5" s="507"/>
      <c r="E5" s="506" t="s">
        <v>243</v>
      </c>
      <c r="F5" s="507"/>
      <c r="G5" s="507"/>
      <c r="H5" s="507"/>
      <c r="I5" s="508"/>
      <c r="J5" s="506" t="s">
        <v>55</v>
      </c>
      <c r="K5" s="507"/>
      <c r="L5" s="508"/>
      <c r="M5" s="496" t="s">
        <v>57</v>
      </c>
      <c r="N5" s="497"/>
      <c r="O5" s="497"/>
      <c r="P5" s="497"/>
      <c r="Q5" s="497"/>
      <c r="R5" s="497"/>
      <c r="S5" s="497"/>
      <c r="T5" s="498"/>
      <c r="U5" s="499" t="s">
        <v>65</v>
      </c>
    </row>
    <row r="6" spans="1:21" ht="15" customHeight="1">
      <c r="A6" s="516"/>
      <c r="B6" s="504" t="s">
        <v>42</v>
      </c>
      <c r="C6" s="504" t="s">
        <v>44</v>
      </c>
      <c r="D6" s="504" t="s">
        <v>45</v>
      </c>
      <c r="E6" s="504" t="s">
        <v>127</v>
      </c>
      <c r="F6" s="501" t="s">
        <v>122</v>
      </c>
      <c r="G6" s="501" t="s">
        <v>128</v>
      </c>
      <c r="H6" s="517" t="s">
        <v>61</v>
      </c>
      <c r="I6" s="501" t="s">
        <v>70</v>
      </c>
      <c r="J6" s="504" t="s">
        <v>52</v>
      </c>
      <c r="K6" s="123"/>
      <c r="L6" s="501" t="s">
        <v>54</v>
      </c>
      <c r="M6" s="493" t="s">
        <v>56</v>
      </c>
      <c r="N6" s="493" t="s">
        <v>244</v>
      </c>
      <c r="O6" s="493" t="s">
        <v>245</v>
      </c>
      <c r="P6" s="509" t="s">
        <v>219</v>
      </c>
      <c r="Q6" s="510"/>
      <c r="R6" s="493" t="s">
        <v>77</v>
      </c>
      <c r="S6" s="493" t="s">
        <v>63</v>
      </c>
      <c r="T6" s="493" t="s">
        <v>64</v>
      </c>
      <c r="U6" s="500"/>
    </row>
    <row r="7" spans="1:21" ht="15" customHeight="1">
      <c r="A7" s="516"/>
      <c r="B7" s="500"/>
      <c r="C7" s="500"/>
      <c r="D7" s="500"/>
      <c r="E7" s="500"/>
      <c r="F7" s="502"/>
      <c r="G7" s="502"/>
      <c r="H7" s="518"/>
      <c r="I7" s="502"/>
      <c r="J7" s="500"/>
      <c r="K7" s="501" t="s">
        <v>53</v>
      </c>
      <c r="L7" s="502"/>
      <c r="M7" s="494"/>
      <c r="N7" s="494"/>
      <c r="O7" s="494"/>
      <c r="P7" s="511"/>
      <c r="Q7" s="512"/>
      <c r="R7" s="494"/>
      <c r="S7" s="494"/>
      <c r="T7" s="494"/>
      <c r="U7" s="500"/>
    </row>
    <row r="8" spans="1:21" ht="15" customHeight="1">
      <c r="A8" s="516"/>
      <c r="B8" s="500"/>
      <c r="C8" s="500"/>
      <c r="D8" s="500"/>
      <c r="E8" s="500"/>
      <c r="F8" s="502"/>
      <c r="G8" s="502"/>
      <c r="H8" s="518"/>
      <c r="I8" s="502"/>
      <c r="J8" s="500"/>
      <c r="K8" s="502"/>
      <c r="L8" s="502"/>
      <c r="M8" s="494"/>
      <c r="N8" s="494"/>
      <c r="O8" s="494"/>
      <c r="P8" s="511"/>
      <c r="Q8" s="512"/>
      <c r="R8" s="494"/>
      <c r="S8" s="494"/>
      <c r="T8" s="494"/>
      <c r="U8" s="500"/>
    </row>
    <row r="9" spans="1:21" ht="15" customHeight="1">
      <c r="A9" s="516"/>
      <c r="B9" s="505"/>
      <c r="C9" s="505"/>
      <c r="D9" s="505"/>
      <c r="E9" s="505"/>
      <c r="F9" s="502"/>
      <c r="G9" s="503"/>
      <c r="H9" s="519"/>
      <c r="I9" s="503"/>
      <c r="J9" s="505"/>
      <c r="K9" s="503"/>
      <c r="L9" s="503"/>
      <c r="M9" s="495"/>
      <c r="N9" s="495"/>
      <c r="O9" s="495"/>
      <c r="P9" s="513"/>
      <c r="Q9" s="514"/>
      <c r="R9" s="495"/>
      <c r="S9" s="495"/>
      <c r="T9" s="495"/>
      <c r="U9" s="500"/>
    </row>
    <row r="10" spans="1:21" ht="15" customHeight="1">
      <c r="A10" s="124"/>
      <c r="B10" s="125"/>
      <c r="C10" s="126"/>
      <c r="D10" s="125"/>
      <c r="E10" s="125"/>
      <c r="F10" s="125"/>
      <c r="G10" s="125"/>
      <c r="H10" s="125"/>
      <c r="I10" s="383"/>
      <c r="J10" s="125"/>
      <c r="K10" s="125"/>
      <c r="L10" s="127"/>
      <c r="M10" s="128"/>
      <c r="N10" s="129"/>
      <c r="O10" s="129"/>
      <c r="P10" s="520"/>
      <c r="Q10" s="521"/>
      <c r="R10" s="130"/>
      <c r="S10" s="130"/>
      <c r="T10" s="130"/>
      <c r="U10" s="378"/>
    </row>
    <row r="11" spans="1:21" ht="15" customHeight="1">
      <c r="A11" s="131">
        <v>2013</v>
      </c>
      <c r="B11" s="132">
        <v>282787546</v>
      </c>
      <c r="C11" s="133">
        <v>172019090</v>
      </c>
      <c r="D11" s="132">
        <v>2183819487</v>
      </c>
      <c r="E11" s="132">
        <v>77236745</v>
      </c>
      <c r="F11" s="132">
        <v>18472547</v>
      </c>
      <c r="G11" s="132">
        <v>41900225</v>
      </c>
      <c r="H11" s="132">
        <v>5723872</v>
      </c>
      <c r="I11" s="132">
        <v>2093193</v>
      </c>
      <c r="J11" s="132">
        <v>597480091</v>
      </c>
      <c r="K11" s="132">
        <v>101986862</v>
      </c>
      <c r="L11" s="134">
        <v>467374120</v>
      </c>
      <c r="M11" s="150">
        <v>13.4</v>
      </c>
      <c r="N11" s="150">
        <v>7.2000000000000011</v>
      </c>
      <c r="O11" s="150">
        <v>3.4000000000000004</v>
      </c>
      <c r="P11" s="489">
        <v>7.4</v>
      </c>
      <c r="Q11" s="490"/>
      <c r="R11" s="384">
        <v>4.5999999999999996</v>
      </c>
      <c r="S11" s="384">
        <v>4.9000000000000004</v>
      </c>
      <c r="T11" s="384">
        <v>94.3</v>
      </c>
      <c r="U11" s="385">
        <v>42702</v>
      </c>
    </row>
    <row r="12" spans="1:21" ht="15" customHeight="1">
      <c r="A12" s="131">
        <v>2014</v>
      </c>
      <c r="B12" s="132">
        <v>389488956</v>
      </c>
      <c r="C12" s="133">
        <v>228686847</v>
      </c>
      <c r="D12" s="132">
        <v>2304878035</v>
      </c>
      <c r="E12" s="132">
        <v>110575286</v>
      </c>
      <c r="F12" s="132">
        <v>25761461</v>
      </c>
      <c r="G12" s="132">
        <v>62251110</v>
      </c>
      <c r="H12" s="132">
        <v>8043694</v>
      </c>
      <c r="I12" s="132">
        <v>3236983</v>
      </c>
      <c r="J12" s="132">
        <v>662075171</v>
      </c>
      <c r="K12" s="132">
        <v>111662189</v>
      </c>
      <c r="L12" s="134">
        <v>523087570</v>
      </c>
      <c r="M12" s="150">
        <v>17.8</v>
      </c>
      <c r="N12" s="150">
        <v>8.9</v>
      </c>
      <c r="O12" s="150">
        <v>5.5</v>
      </c>
      <c r="P12" s="489">
        <v>7.3</v>
      </c>
      <c r="Q12" s="490"/>
      <c r="R12" s="384">
        <v>4.5</v>
      </c>
      <c r="S12" s="384">
        <v>10.8</v>
      </c>
      <c r="T12" s="384">
        <v>95</v>
      </c>
      <c r="U12" s="385">
        <v>44905</v>
      </c>
    </row>
    <row r="13" spans="1:21" ht="15" customHeight="1">
      <c r="A13" s="131">
        <v>2015</v>
      </c>
      <c r="B13" s="132">
        <v>395249415</v>
      </c>
      <c r="C13" s="133">
        <v>232009715</v>
      </c>
      <c r="D13" s="132">
        <v>2404224008</v>
      </c>
      <c r="E13" s="132">
        <v>117213653</v>
      </c>
      <c r="F13" s="132">
        <v>27863264</v>
      </c>
      <c r="G13" s="132">
        <v>66972365</v>
      </c>
      <c r="H13" s="132">
        <v>8040393</v>
      </c>
      <c r="I13" s="132">
        <v>3616895</v>
      </c>
      <c r="J13" s="132">
        <v>724929682</v>
      </c>
      <c r="K13" s="132">
        <v>123770179</v>
      </c>
      <c r="L13" s="134">
        <v>573486517</v>
      </c>
      <c r="M13" s="150">
        <v>17.100000000000001</v>
      </c>
      <c r="N13" s="150">
        <v>8.6</v>
      </c>
      <c r="O13" s="150">
        <v>4.3</v>
      </c>
      <c r="P13" s="489">
        <v>6.9</v>
      </c>
      <c r="Q13" s="490"/>
      <c r="R13" s="384">
        <v>4</v>
      </c>
      <c r="S13" s="384">
        <v>9.5</v>
      </c>
      <c r="T13" s="384">
        <v>95.4</v>
      </c>
      <c r="U13" s="385">
        <v>46657</v>
      </c>
    </row>
    <row r="14" spans="1:21" ht="15" customHeight="1">
      <c r="A14" s="131">
        <v>2016</v>
      </c>
      <c r="B14" s="132">
        <v>365289906</v>
      </c>
      <c r="C14" s="132">
        <v>236401499</v>
      </c>
      <c r="D14" s="132">
        <v>2470849678</v>
      </c>
      <c r="E14" s="132">
        <v>119811249</v>
      </c>
      <c r="F14" s="132">
        <v>29289425</v>
      </c>
      <c r="G14" s="132">
        <v>71691816</v>
      </c>
      <c r="H14" s="132">
        <v>8313537</v>
      </c>
      <c r="I14" s="132">
        <v>2420705</v>
      </c>
      <c r="J14" s="132">
        <v>782149062</v>
      </c>
      <c r="K14" s="132">
        <v>132423436</v>
      </c>
      <c r="L14" s="134">
        <v>622131791</v>
      </c>
      <c r="M14" s="150">
        <v>15.2</v>
      </c>
      <c r="N14" s="150">
        <v>8.5</v>
      </c>
      <c r="O14" s="150">
        <v>2.8</v>
      </c>
      <c r="P14" s="489">
        <v>6.9</v>
      </c>
      <c r="Q14" s="490"/>
      <c r="R14" s="384">
        <v>3.9</v>
      </c>
      <c r="S14" s="384">
        <v>7.9</v>
      </c>
      <c r="T14" s="384">
        <v>95.8</v>
      </c>
      <c r="U14" s="385">
        <v>47796</v>
      </c>
    </row>
    <row r="15" spans="1:21" ht="15" customHeight="1">
      <c r="A15" s="131">
        <v>2017</v>
      </c>
      <c r="B15" s="132">
        <v>322063400</v>
      </c>
      <c r="C15" s="132">
        <v>238031829</v>
      </c>
      <c r="D15" s="132">
        <v>2488755794</v>
      </c>
      <c r="E15" s="132">
        <v>113973482</v>
      </c>
      <c r="F15" s="132">
        <v>35763483</v>
      </c>
      <c r="G15" s="132">
        <v>79437498</v>
      </c>
      <c r="H15" s="132">
        <v>8676171</v>
      </c>
      <c r="I15" s="132">
        <v>3914952</v>
      </c>
      <c r="J15" s="132">
        <v>832826894</v>
      </c>
      <c r="K15" s="132">
        <v>145609158</v>
      </c>
      <c r="L15" s="134">
        <v>656211118</v>
      </c>
      <c r="M15" s="150">
        <v>13</v>
      </c>
      <c r="N15" s="150">
        <v>8.5</v>
      </c>
      <c r="O15" s="150">
        <v>0.7</v>
      </c>
      <c r="P15" s="489">
        <v>7.6</v>
      </c>
      <c r="Q15" s="490"/>
      <c r="R15" s="384">
        <v>3.5000000000000004</v>
      </c>
      <c r="S15" s="384">
        <v>6.5</v>
      </c>
      <c r="T15" s="384">
        <v>95.5</v>
      </c>
      <c r="U15" s="385">
        <v>48065</v>
      </c>
    </row>
    <row r="16" spans="1:21" ht="15" customHeight="1">
      <c r="A16" s="135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4"/>
      <c r="M16" s="150"/>
      <c r="N16" s="150"/>
      <c r="O16" s="150"/>
      <c r="P16" s="489"/>
      <c r="Q16" s="490"/>
      <c r="R16" s="384"/>
      <c r="S16" s="384"/>
      <c r="T16" s="384"/>
      <c r="U16" s="385"/>
    </row>
    <row r="17" spans="1:21" ht="15" customHeight="1">
      <c r="A17" s="131">
        <v>2018</v>
      </c>
      <c r="B17" s="132">
        <v>302769912</v>
      </c>
      <c r="C17" s="132">
        <v>243657914</v>
      </c>
      <c r="D17" s="132">
        <v>2473416730</v>
      </c>
      <c r="E17" s="132">
        <v>110843130</v>
      </c>
      <c r="F17" s="132">
        <v>32412183</v>
      </c>
      <c r="G17" s="132">
        <v>86070693</v>
      </c>
      <c r="H17" s="132">
        <v>9443020</v>
      </c>
      <c r="I17" s="132">
        <v>4032458</v>
      </c>
      <c r="J17" s="132">
        <v>857198324</v>
      </c>
      <c r="K17" s="132">
        <v>143796950</v>
      </c>
      <c r="L17" s="134">
        <v>687092187</v>
      </c>
      <c r="M17" s="150">
        <v>12.2</v>
      </c>
      <c r="N17" s="150">
        <v>8.8000000000000007</v>
      </c>
      <c r="O17" s="150">
        <v>-0.1</v>
      </c>
      <c r="P17" s="489">
        <v>8.5</v>
      </c>
      <c r="Q17" s="490"/>
      <c r="R17" s="384">
        <v>3.6000000000000005</v>
      </c>
      <c r="S17" s="384">
        <v>2.9</v>
      </c>
      <c r="T17" s="384">
        <v>96.3</v>
      </c>
      <c r="U17" s="385">
        <v>47725</v>
      </c>
    </row>
    <row r="18" spans="1:21" ht="15" customHeight="1">
      <c r="A18" s="131">
        <v>2019</v>
      </c>
      <c r="B18" s="132">
        <v>300287155</v>
      </c>
      <c r="C18" s="132">
        <v>249939350</v>
      </c>
      <c r="D18" s="132">
        <v>2449695976</v>
      </c>
      <c r="E18" s="132">
        <v>117262358</v>
      </c>
      <c r="F18" s="132">
        <v>33633494</v>
      </c>
      <c r="G18" s="132">
        <v>92069277</v>
      </c>
      <c r="H18" s="132">
        <v>9491772</v>
      </c>
      <c r="I18" s="132">
        <v>3114040</v>
      </c>
      <c r="J18" s="132">
        <v>918161402</v>
      </c>
      <c r="K18" s="132">
        <v>158881010</v>
      </c>
      <c r="L18" s="134">
        <v>731989699</v>
      </c>
      <c r="M18" s="150">
        <v>12.1</v>
      </c>
      <c r="N18" s="150">
        <v>9</v>
      </c>
      <c r="O18" s="150">
        <v>-1</v>
      </c>
      <c r="P18" s="489">
        <v>8.1</v>
      </c>
      <c r="Q18" s="490"/>
      <c r="R18" s="384">
        <v>3.5000000000000004</v>
      </c>
      <c r="S18" s="384">
        <v>7.1</v>
      </c>
      <c r="T18" s="384">
        <v>96.4</v>
      </c>
      <c r="U18" s="385">
        <v>47246</v>
      </c>
    </row>
    <row r="19" spans="1:21" ht="15" customHeight="1">
      <c r="A19" s="131">
        <v>2020</v>
      </c>
      <c r="B19" s="132">
        <v>309191489</v>
      </c>
      <c r="C19" s="132">
        <v>237962699</v>
      </c>
      <c r="D19" s="132">
        <v>2448368003</v>
      </c>
      <c r="E19" s="132">
        <v>119587220</v>
      </c>
      <c r="F19" s="132">
        <v>37666528</v>
      </c>
      <c r="G19" s="132">
        <v>95247277</v>
      </c>
      <c r="H19" s="132">
        <v>9464913</v>
      </c>
      <c r="I19" s="132">
        <v>3451340</v>
      </c>
      <c r="J19" s="132">
        <v>977283599</v>
      </c>
      <c r="K19" s="132">
        <v>178987876</v>
      </c>
      <c r="L19" s="134">
        <v>769238507</v>
      </c>
      <c r="M19" s="150">
        <v>12.6</v>
      </c>
      <c r="N19" s="150">
        <v>8.6</v>
      </c>
      <c r="O19" s="150">
        <v>-0.1</v>
      </c>
      <c r="P19" s="489">
        <v>7.9</v>
      </c>
      <c r="Q19" s="490"/>
      <c r="R19" s="384">
        <v>3.1</v>
      </c>
      <c r="S19" s="384">
        <v>6.4</v>
      </c>
      <c r="T19" s="384">
        <v>96.4</v>
      </c>
      <c r="U19" s="385">
        <v>46807</v>
      </c>
    </row>
    <row r="20" spans="1:21" ht="15" customHeight="1">
      <c r="A20" s="131">
        <v>2021</v>
      </c>
      <c r="B20" s="132">
        <v>283491779</v>
      </c>
      <c r="C20" s="132">
        <v>211116795</v>
      </c>
      <c r="D20" s="132">
        <v>2454417879</v>
      </c>
      <c r="E20" s="132">
        <v>119421118</v>
      </c>
      <c r="F20" s="132">
        <v>37427695</v>
      </c>
      <c r="G20" s="132">
        <v>99173053</v>
      </c>
      <c r="H20" s="132">
        <v>9357389</v>
      </c>
      <c r="I20" s="132">
        <v>3726154</v>
      </c>
      <c r="J20" s="132">
        <v>992404265</v>
      </c>
      <c r="K20" s="132">
        <v>186241017</v>
      </c>
      <c r="L20" s="134">
        <v>781888265</v>
      </c>
      <c r="M20" s="150">
        <v>11.6</v>
      </c>
      <c r="N20" s="150">
        <v>7.7</v>
      </c>
      <c r="O20" s="150">
        <v>0.3</v>
      </c>
      <c r="P20" s="489">
        <v>7.8</v>
      </c>
      <c r="Q20" s="490"/>
      <c r="R20" s="384">
        <v>3.2</v>
      </c>
      <c r="S20" s="384">
        <v>1.5</v>
      </c>
      <c r="T20" s="384">
        <v>97</v>
      </c>
      <c r="U20" s="385">
        <v>47530</v>
      </c>
    </row>
    <row r="21" spans="1:21" ht="15" customHeight="1">
      <c r="A21" s="131">
        <v>2022</v>
      </c>
      <c r="B21" s="132">
        <v>266442698</v>
      </c>
      <c r="C21" s="132">
        <v>216931873</v>
      </c>
      <c r="D21" s="132">
        <v>2424608591</v>
      </c>
      <c r="E21" s="132">
        <v>132683691</v>
      </c>
      <c r="F21" s="132">
        <v>43207616</v>
      </c>
      <c r="G21" s="132">
        <v>134368168</v>
      </c>
      <c r="H21" s="132">
        <v>9622170</v>
      </c>
      <c r="I21" s="132">
        <v>3703681</v>
      </c>
      <c r="J21" s="132">
        <v>938269945</v>
      </c>
      <c r="K21" s="132">
        <v>168873397</v>
      </c>
      <c r="L21" s="134">
        <v>736547607</v>
      </c>
      <c r="M21" s="150">
        <v>10.9</v>
      </c>
      <c r="N21" s="150">
        <v>8</v>
      </c>
      <c r="O21" s="150">
        <v>-1.2</v>
      </c>
      <c r="P21" s="489">
        <v>7.3</v>
      </c>
      <c r="Q21" s="490"/>
      <c r="R21" s="384">
        <v>3.1</v>
      </c>
      <c r="S21" s="384">
        <v>-5.5</v>
      </c>
      <c r="T21" s="384">
        <v>95.7</v>
      </c>
      <c r="U21" s="385">
        <v>47136</v>
      </c>
    </row>
    <row r="22" spans="1:21" ht="15" customHeight="1" thickBot="1">
      <c r="A22" s="136"/>
      <c r="B22" s="137"/>
      <c r="C22" s="137"/>
      <c r="D22" s="137"/>
      <c r="E22" s="137"/>
      <c r="F22" s="137"/>
      <c r="G22" s="137"/>
      <c r="H22" s="137"/>
      <c r="I22" s="151"/>
      <c r="J22" s="137"/>
      <c r="K22" s="137"/>
      <c r="L22" s="138"/>
      <c r="M22" s="139"/>
      <c r="N22" s="140"/>
      <c r="O22" s="140"/>
      <c r="P22" s="491"/>
      <c r="Q22" s="492"/>
      <c r="R22" s="141"/>
      <c r="S22" s="141"/>
      <c r="T22" s="141"/>
      <c r="U22" s="379"/>
    </row>
    <row r="23" spans="1:21" ht="15" customHeight="1">
      <c r="A23" s="19"/>
      <c r="E23" s="104"/>
      <c r="F23" s="30"/>
      <c r="H23" s="104"/>
      <c r="I23" s="104"/>
      <c r="J23" s="23"/>
      <c r="N23" s="105"/>
      <c r="O23" s="105"/>
      <c r="P23" s="105"/>
      <c r="Q23" s="105"/>
      <c r="R23" s="105"/>
      <c r="S23" s="105"/>
    </row>
    <row r="24" spans="1:21" ht="15" customHeight="1" thickBot="1">
      <c r="A24" s="26"/>
      <c r="B24" s="21"/>
      <c r="C24" s="21"/>
      <c r="D24" s="21"/>
      <c r="E24" s="21"/>
      <c r="F24" s="5"/>
      <c r="G24" s="5"/>
      <c r="H24" s="21"/>
      <c r="I24" s="21"/>
      <c r="J24" s="21"/>
      <c r="K24" s="21"/>
      <c r="L24" s="21"/>
      <c r="M24" s="105"/>
      <c r="N24" s="105"/>
      <c r="O24" s="105"/>
      <c r="P24" s="105"/>
      <c r="Q24" s="105"/>
      <c r="U24" s="27" t="s">
        <v>203</v>
      </c>
    </row>
    <row r="25" spans="1:21" ht="15" customHeight="1">
      <c r="A25" s="522" t="s">
        <v>41</v>
      </c>
      <c r="B25" s="506" t="s">
        <v>43</v>
      </c>
      <c r="C25" s="507"/>
      <c r="D25" s="508"/>
      <c r="E25" s="506" t="s">
        <v>46</v>
      </c>
      <c r="F25" s="507"/>
      <c r="G25" s="507"/>
      <c r="H25" s="507"/>
      <c r="I25" s="508"/>
      <c r="J25" s="506" t="s">
        <v>55</v>
      </c>
      <c r="K25" s="507"/>
      <c r="L25" s="508"/>
      <c r="M25" s="496" t="s">
        <v>57</v>
      </c>
      <c r="N25" s="497"/>
      <c r="O25" s="497"/>
      <c r="P25" s="497"/>
      <c r="Q25" s="497"/>
      <c r="R25" s="497"/>
      <c r="S25" s="497"/>
      <c r="T25" s="498"/>
      <c r="U25" s="499" t="s">
        <v>65</v>
      </c>
    </row>
    <row r="26" spans="1:21" ht="15" customHeight="1">
      <c r="A26" s="518"/>
      <c r="B26" s="501" t="s">
        <v>42</v>
      </c>
      <c r="C26" s="501" t="s">
        <v>44</v>
      </c>
      <c r="D26" s="501" t="s">
        <v>45</v>
      </c>
      <c r="E26" s="501" t="s">
        <v>47</v>
      </c>
      <c r="F26" s="501" t="s">
        <v>48</v>
      </c>
      <c r="G26" s="501" t="s">
        <v>49</v>
      </c>
      <c r="H26" s="501" t="s">
        <v>50</v>
      </c>
      <c r="I26" s="501" t="s">
        <v>51</v>
      </c>
      <c r="J26" s="504" t="s">
        <v>52</v>
      </c>
      <c r="K26" s="372"/>
      <c r="L26" s="501" t="s">
        <v>54</v>
      </c>
      <c r="M26" s="493" t="s">
        <v>56</v>
      </c>
      <c r="N26" s="493" t="s">
        <v>58</v>
      </c>
      <c r="O26" s="493" t="s">
        <v>59</v>
      </c>
      <c r="P26" s="509" t="s">
        <v>60</v>
      </c>
      <c r="Q26" s="373"/>
      <c r="R26" s="493" t="s">
        <v>62</v>
      </c>
      <c r="S26" s="493" t="s">
        <v>63</v>
      </c>
      <c r="T26" s="493" t="s">
        <v>64</v>
      </c>
      <c r="U26" s="500"/>
    </row>
    <row r="27" spans="1:21" ht="15" customHeight="1">
      <c r="A27" s="518"/>
      <c r="B27" s="502"/>
      <c r="C27" s="502"/>
      <c r="D27" s="502"/>
      <c r="E27" s="502"/>
      <c r="F27" s="502"/>
      <c r="G27" s="502"/>
      <c r="H27" s="502"/>
      <c r="I27" s="502"/>
      <c r="J27" s="500"/>
      <c r="K27" s="501" t="s">
        <v>53</v>
      </c>
      <c r="L27" s="502"/>
      <c r="M27" s="494"/>
      <c r="N27" s="494"/>
      <c r="O27" s="494"/>
      <c r="P27" s="511"/>
      <c r="Q27" s="493" t="s">
        <v>61</v>
      </c>
      <c r="R27" s="494"/>
      <c r="S27" s="494"/>
      <c r="T27" s="494"/>
      <c r="U27" s="500"/>
    </row>
    <row r="28" spans="1:21" ht="15" customHeight="1">
      <c r="A28" s="518"/>
      <c r="B28" s="502"/>
      <c r="C28" s="502"/>
      <c r="D28" s="502"/>
      <c r="E28" s="502"/>
      <c r="F28" s="502"/>
      <c r="G28" s="502"/>
      <c r="H28" s="502"/>
      <c r="I28" s="502"/>
      <c r="J28" s="500"/>
      <c r="K28" s="502"/>
      <c r="L28" s="502"/>
      <c r="M28" s="494"/>
      <c r="N28" s="494"/>
      <c r="O28" s="494"/>
      <c r="P28" s="511"/>
      <c r="Q28" s="494"/>
      <c r="R28" s="494"/>
      <c r="S28" s="494"/>
      <c r="T28" s="494"/>
      <c r="U28" s="500"/>
    </row>
    <row r="29" spans="1:21" ht="15" customHeight="1">
      <c r="A29" s="519"/>
      <c r="B29" s="503"/>
      <c r="C29" s="503"/>
      <c r="D29" s="503"/>
      <c r="E29" s="503"/>
      <c r="F29" s="503"/>
      <c r="G29" s="503"/>
      <c r="H29" s="503"/>
      <c r="I29" s="503"/>
      <c r="J29" s="505"/>
      <c r="K29" s="503"/>
      <c r="L29" s="503"/>
      <c r="M29" s="495"/>
      <c r="N29" s="495"/>
      <c r="O29" s="495"/>
      <c r="P29" s="513"/>
      <c r="Q29" s="495"/>
      <c r="R29" s="495"/>
      <c r="S29" s="495"/>
      <c r="T29" s="495"/>
      <c r="U29" s="500"/>
    </row>
    <row r="30" spans="1:21" ht="15" customHeight="1">
      <c r="A30" s="142"/>
      <c r="B30" s="143"/>
      <c r="C30" s="144"/>
      <c r="D30" s="144"/>
      <c r="E30" s="143"/>
      <c r="F30" s="144"/>
      <c r="G30" s="144"/>
      <c r="H30" s="144"/>
      <c r="I30" s="144"/>
      <c r="J30" s="144"/>
      <c r="K30" s="144"/>
      <c r="L30" s="145"/>
      <c r="M30" s="145"/>
      <c r="N30" s="146"/>
      <c r="O30" s="146"/>
      <c r="P30" s="146"/>
      <c r="Q30" s="146"/>
      <c r="R30" s="147"/>
      <c r="S30" s="105"/>
      <c r="T30" s="146"/>
      <c r="U30" s="380"/>
    </row>
    <row r="31" spans="1:21" ht="15" customHeight="1">
      <c r="A31" s="148" t="s">
        <v>205</v>
      </c>
      <c r="B31" s="132">
        <v>28691455</v>
      </c>
      <c r="C31" s="132">
        <v>21678419</v>
      </c>
      <c r="D31" s="132">
        <v>2418030100</v>
      </c>
      <c r="E31" s="386">
        <v>0</v>
      </c>
      <c r="F31" s="386">
        <v>0</v>
      </c>
      <c r="G31" s="386">
        <v>0</v>
      </c>
      <c r="H31" s="386">
        <v>0</v>
      </c>
      <c r="I31" s="386">
        <v>0</v>
      </c>
      <c r="J31" s="132">
        <v>855070876</v>
      </c>
      <c r="K31" s="132">
        <v>102415076</v>
      </c>
      <c r="L31" s="132">
        <v>736057145</v>
      </c>
      <c r="M31" s="387">
        <v>1.2</v>
      </c>
      <c r="N31" s="387">
        <v>0.90000000000000013</v>
      </c>
      <c r="O31" s="387">
        <v>-0.3</v>
      </c>
      <c r="P31" s="388">
        <v>10.7</v>
      </c>
      <c r="Q31" s="132">
        <v>1203184</v>
      </c>
      <c r="R31" s="389">
        <v>3.1</v>
      </c>
      <c r="S31" s="390">
        <v>-8.8672849806914726</v>
      </c>
      <c r="T31" s="487">
        <v>97.8</v>
      </c>
      <c r="U31" s="442" t="s">
        <v>251</v>
      </c>
    </row>
    <row r="32" spans="1:21" ht="15" customHeight="1">
      <c r="A32" s="148" t="s">
        <v>250</v>
      </c>
      <c r="B32" s="132">
        <v>51769019</v>
      </c>
      <c r="C32" s="132">
        <v>41419536</v>
      </c>
      <c r="D32" s="132">
        <v>2414343895</v>
      </c>
      <c r="E32" s="386">
        <v>0</v>
      </c>
      <c r="F32" s="386">
        <v>0</v>
      </c>
      <c r="G32" s="386">
        <v>0</v>
      </c>
      <c r="H32" s="386">
        <v>0</v>
      </c>
      <c r="I32" s="386">
        <v>0</v>
      </c>
      <c r="J32" s="132">
        <v>840173130</v>
      </c>
      <c r="K32" s="132">
        <v>101315292</v>
      </c>
      <c r="L32" s="132">
        <v>723670099</v>
      </c>
      <c r="M32" s="387">
        <v>2.1</v>
      </c>
      <c r="N32" s="387">
        <v>1.7000000000000002</v>
      </c>
      <c r="O32" s="387">
        <v>-0.4</v>
      </c>
      <c r="P32" s="388">
        <v>11.5</v>
      </c>
      <c r="Q32" s="132">
        <v>2359341</v>
      </c>
      <c r="R32" s="389">
        <v>3.1</v>
      </c>
      <c r="S32" s="390">
        <v>-10.455073874869695</v>
      </c>
      <c r="T32" s="487">
        <v>97.9</v>
      </c>
      <c r="U32" s="442" t="s">
        <v>251</v>
      </c>
    </row>
    <row r="33" spans="1:21" ht="15" customHeight="1">
      <c r="A33" s="148" t="s">
        <v>252</v>
      </c>
      <c r="B33" s="132">
        <v>76909418</v>
      </c>
      <c r="C33" s="132">
        <v>61088691</v>
      </c>
      <c r="D33" s="132">
        <v>2410369521</v>
      </c>
      <c r="E33" s="386">
        <v>7639247</v>
      </c>
      <c r="F33" s="386">
        <v>6154824</v>
      </c>
      <c r="G33" s="386">
        <v>22938068</v>
      </c>
      <c r="H33" s="386">
        <v>20642430</v>
      </c>
      <c r="I33" s="386">
        <v>2726372</v>
      </c>
      <c r="J33" s="132">
        <v>853976069</v>
      </c>
      <c r="K33" s="132">
        <v>103014955</v>
      </c>
      <c r="L33" s="132">
        <v>736591831</v>
      </c>
      <c r="M33" s="387">
        <v>3.2</v>
      </c>
      <c r="N33" s="387">
        <v>2.4</v>
      </c>
      <c r="O33" s="387">
        <v>-0.6</v>
      </c>
      <c r="P33" s="388">
        <v>13.100000000000001</v>
      </c>
      <c r="Q33" s="132">
        <v>3795740</v>
      </c>
      <c r="R33" s="389">
        <v>3.4</v>
      </c>
      <c r="S33" s="390">
        <v>-8.9839685646288405</v>
      </c>
      <c r="T33" s="487">
        <v>98.1</v>
      </c>
      <c r="U33" s="442" t="s">
        <v>251</v>
      </c>
    </row>
    <row r="34" spans="1:21" ht="15" customHeight="1">
      <c r="A34" s="148" t="s">
        <v>286</v>
      </c>
      <c r="B34" s="132">
        <v>94978839</v>
      </c>
      <c r="C34" s="132">
        <v>77582115</v>
      </c>
      <c r="D34" s="132">
        <v>2406691408</v>
      </c>
      <c r="E34" s="386">
        <v>7639247</v>
      </c>
      <c r="F34" s="386">
        <v>6154824</v>
      </c>
      <c r="G34" s="386">
        <v>22938068</v>
      </c>
      <c r="H34" s="386">
        <v>20642430</v>
      </c>
      <c r="I34" s="386">
        <v>2726372</v>
      </c>
      <c r="J34" s="132">
        <v>856345894</v>
      </c>
      <c r="K34" s="132">
        <v>103406648</v>
      </c>
      <c r="L34" s="132">
        <v>738974142</v>
      </c>
      <c r="M34" s="387">
        <v>3.9</v>
      </c>
      <c r="N34" s="387">
        <v>3.1</v>
      </c>
      <c r="O34" s="387">
        <v>-0.7</v>
      </c>
      <c r="P34" s="388">
        <v>13.900000000000002</v>
      </c>
      <c r="Q34" s="132">
        <v>5082657</v>
      </c>
      <c r="R34" s="389">
        <v>3.4</v>
      </c>
      <c r="S34" s="390">
        <v>-8.7313946641108746</v>
      </c>
      <c r="T34" s="487">
        <v>98.1</v>
      </c>
      <c r="U34" s="442" t="s">
        <v>251</v>
      </c>
    </row>
    <row r="35" spans="1:21" ht="15" customHeight="1">
      <c r="A35" s="148" t="s">
        <v>288</v>
      </c>
      <c r="B35" s="132">
        <v>112745321</v>
      </c>
      <c r="C35" s="132">
        <v>94230576</v>
      </c>
      <c r="D35" s="132">
        <v>2403239291</v>
      </c>
      <c r="E35" s="386">
        <v>7639247</v>
      </c>
      <c r="F35" s="386">
        <v>6154824</v>
      </c>
      <c r="G35" s="386">
        <v>22938068</v>
      </c>
      <c r="H35" s="386">
        <v>20642430</v>
      </c>
      <c r="I35" s="386">
        <v>2726372</v>
      </c>
      <c r="J35" s="132">
        <v>849104080</v>
      </c>
      <c r="K35" s="132">
        <v>104151688</v>
      </c>
      <c r="L35" s="132">
        <v>730928176</v>
      </c>
      <c r="M35" s="387">
        <v>4.5999999999999996</v>
      </c>
      <c r="N35" s="387">
        <v>3.7000000000000006</v>
      </c>
      <c r="O35" s="387">
        <v>-0.90000000000000013</v>
      </c>
      <c r="P35" s="388">
        <v>16.5</v>
      </c>
      <c r="Q35" s="132">
        <v>7274715</v>
      </c>
      <c r="R35" s="389">
        <v>3.4</v>
      </c>
      <c r="S35" s="390">
        <v>-9.5032209419185634</v>
      </c>
      <c r="T35" s="487">
        <v>98.1</v>
      </c>
      <c r="U35" s="442" t="s">
        <v>251</v>
      </c>
    </row>
    <row r="36" spans="1:21" ht="15" customHeight="1">
      <c r="A36" s="148" t="s">
        <v>289</v>
      </c>
      <c r="B36" s="132">
        <v>131040684</v>
      </c>
      <c r="C36" s="132">
        <v>112482192</v>
      </c>
      <c r="D36" s="132">
        <v>2398192941</v>
      </c>
      <c r="E36" s="386">
        <v>15309840</v>
      </c>
      <c r="F36" s="386">
        <v>12084804</v>
      </c>
      <c r="G36" s="386">
        <v>34480228</v>
      </c>
      <c r="H36" s="386">
        <v>32333546</v>
      </c>
      <c r="I36" s="386">
        <v>3829374</v>
      </c>
      <c r="J36" s="132">
        <v>845909499</v>
      </c>
      <c r="K36" s="132">
        <v>104123151</v>
      </c>
      <c r="L36" s="132">
        <v>728146167</v>
      </c>
      <c r="M36" s="387">
        <v>5.4</v>
      </c>
      <c r="N36" s="387">
        <v>4.4000000000000004</v>
      </c>
      <c r="O36" s="387">
        <v>-1.1000000000000001</v>
      </c>
      <c r="P36" s="388">
        <v>17</v>
      </c>
      <c r="Q36" s="132">
        <v>8922667</v>
      </c>
      <c r="R36" s="389">
        <v>3.4</v>
      </c>
      <c r="S36" s="390">
        <v>-9.8435035027755209</v>
      </c>
      <c r="T36" s="487">
        <v>98.2</v>
      </c>
      <c r="U36" s="442" t="s">
        <v>251</v>
      </c>
    </row>
    <row r="37" spans="1:21" ht="15" customHeight="1">
      <c r="A37" s="148" t="s">
        <v>291</v>
      </c>
      <c r="B37" s="132">
        <v>149765537</v>
      </c>
      <c r="C37" s="132">
        <v>129485085</v>
      </c>
      <c r="D37" s="132">
        <v>2393785550</v>
      </c>
      <c r="E37" s="386">
        <v>15309840</v>
      </c>
      <c r="F37" s="386">
        <v>12084804</v>
      </c>
      <c r="G37" s="386">
        <v>34480228</v>
      </c>
      <c r="H37" s="386">
        <v>32333546</v>
      </c>
      <c r="I37" s="386">
        <v>3829374</v>
      </c>
      <c r="J37" s="132">
        <v>843444714</v>
      </c>
      <c r="K37" s="132">
        <v>104622202</v>
      </c>
      <c r="L37" s="132">
        <v>724054515</v>
      </c>
      <c r="M37" s="387">
        <v>6.2</v>
      </c>
      <c r="N37" s="387">
        <v>5</v>
      </c>
      <c r="O37" s="387">
        <v>-1.3</v>
      </c>
      <c r="P37" s="388">
        <v>17.399999999999999</v>
      </c>
      <c r="Q37" s="132">
        <v>10543897</v>
      </c>
      <c r="R37" s="389">
        <v>3.4</v>
      </c>
      <c r="S37" s="390">
        <v>-10.1</v>
      </c>
      <c r="T37" s="487">
        <v>98</v>
      </c>
      <c r="U37" s="442" t="s">
        <v>251</v>
      </c>
    </row>
    <row r="38" spans="1:21" ht="15" customHeight="1">
      <c r="A38" s="148" t="s">
        <v>292</v>
      </c>
      <c r="B38" s="132">
        <v>169314711</v>
      </c>
      <c r="C38" s="132">
        <v>146753401</v>
      </c>
      <c r="D38" s="132">
        <v>2391510987</v>
      </c>
      <c r="E38" s="386">
        <v>15309840</v>
      </c>
      <c r="F38" s="386">
        <v>12084804</v>
      </c>
      <c r="G38" s="386">
        <v>34480228</v>
      </c>
      <c r="H38" s="386">
        <v>32333546</v>
      </c>
      <c r="I38" s="386">
        <v>3829374</v>
      </c>
      <c r="J38" s="132">
        <v>839917184</v>
      </c>
      <c r="K38" s="132">
        <v>103531591</v>
      </c>
      <c r="L38" s="132">
        <v>721752781</v>
      </c>
      <c r="M38" s="387">
        <v>7.0000000000000009</v>
      </c>
      <c r="N38" s="387">
        <v>5.7</v>
      </c>
      <c r="O38" s="387">
        <v>-1.4</v>
      </c>
      <c r="P38" s="388">
        <v>17.899999999999999</v>
      </c>
      <c r="Q38" s="132">
        <v>12290743</v>
      </c>
      <c r="R38" s="389">
        <v>3.4</v>
      </c>
      <c r="S38" s="390">
        <v>-10.5</v>
      </c>
      <c r="T38" s="487">
        <v>98</v>
      </c>
      <c r="U38" s="442" t="s">
        <v>251</v>
      </c>
    </row>
    <row r="39" spans="1:21" ht="15" customHeight="1">
      <c r="A39" s="148" t="s">
        <v>293</v>
      </c>
      <c r="B39" s="132">
        <v>185870006</v>
      </c>
      <c r="C39" s="132">
        <v>162142864</v>
      </c>
      <c r="D39" s="132">
        <v>2387004773</v>
      </c>
      <c r="E39" s="386">
        <v>23517956</v>
      </c>
      <c r="F39" s="386">
        <v>18806231</v>
      </c>
      <c r="G39" s="386">
        <v>45865547</v>
      </c>
      <c r="H39" s="386">
        <v>44263101</v>
      </c>
      <c r="I39" s="386">
        <v>4399289</v>
      </c>
      <c r="J39" s="132">
        <v>831370568</v>
      </c>
      <c r="K39" s="132">
        <v>100541112</v>
      </c>
      <c r="L39" s="132">
        <v>716755094</v>
      </c>
      <c r="M39" s="387">
        <v>7.6</v>
      </c>
      <c r="N39" s="387">
        <v>6.2</v>
      </c>
      <c r="O39" s="387">
        <v>-1.6</v>
      </c>
      <c r="P39" s="388">
        <v>18</v>
      </c>
      <c r="Q39" s="132">
        <v>13797749</v>
      </c>
      <c r="R39" s="389">
        <v>3.3</v>
      </c>
      <c r="S39" s="390">
        <v>-11.393243325732612</v>
      </c>
      <c r="T39" s="487">
        <v>98.1</v>
      </c>
      <c r="U39" s="442" t="s">
        <v>251</v>
      </c>
    </row>
    <row r="40" spans="1:21" ht="15" customHeight="1">
      <c r="A40" s="148" t="s">
        <v>296</v>
      </c>
      <c r="B40" s="132">
        <v>203096721</v>
      </c>
      <c r="C40" s="132">
        <v>178589508</v>
      </c>
      <c r="D40" s="132">
        <v>2380220442</v>
      </c>
      <c r="E40" s="386">
        <v>23517956</v>
      </c>
      <c r="F40" s="386">
        <v>18806231</v>
      </c>
      <c r="G40" s="386">
        <v>45865547</v>
      </c>
      <c r="H40" s="386">
        <v>44263101</v>
      </c>
      <c r="I40" s="386">
        <v>4399289</v>
      </c>
      <c r="J40" s="132">
        <v>819257787</v>
      </c>
      <c r="K40" s="132">
        <v>97844631</v>
      </c>
      <c r="L40" s="132">
        <v>707098888</v>
      </c>
      <c r="M40" s="387">
        <v>8.4</v>
      </c>
      <c r="N40" s="387">
        <v>6.8000000000000007</v>
      </c>
      <c r="O40" s="387">
        <v>-1.8000000000000003</v>
      </c>
      <c r="P40" s="388">
        <v>18.100000000000001</v>
      </c>
      <c r="Q40" s="132">
        <v>15230531</v>
      </c>
      <c r="R40" s="389">
        <v>3.3</v>
      </c>
      <c r="S40" s="390">
        <v>-12.7</v>
      </c>
      <c r="T40" s="487">
        <v>98</v>
      </c>
      <c r="U40" s="442" t="s">
        <v>251</v>
      </c>
    </row>
    <row r="41" spans="1:21" ht="15" customHeight="1">
      <c r="A41" s="148" t="s">
        <v>297</v>
      </c>
      <c r="B41" s="132">
        <v>220554604</v>
      </c>
      <c r="C41" s="132">
        <v>196038487</v>
      </c>
      <c r="D41" s="132">
        <v>2376582804</v>
      </c>
      <c r="E41" s="386">
        <v>23517956</v>
      </c>
      <c r="F41" s="386">
        <v>18806231</v>
      </c>
      <c r="G41" s="386">
        <v>45865547</v>
      </c>
      <c r="H41" s="386">
        <v>44263101</v>
      </c>
      <c r="I41" s="386">
        <v>4399289</v>
      </c>
      <c r="J41" s="132">
        <v>847900994</v>
      </c>
      <c r="K41" s="132">
        <v>102270426</v>
      </c>
      <c r="L41" s="132">
        <v>729265852</v>
      </c>
      <c r="M41" s="387">
        <v>9.1</v>
      </c>
      <c r="N41" s="387">
        <v>7.4000000000000012</v>
      </c>
      <c r="O41" s="387">
        <v>-2</v>
      </c>
      <c r="P41" s="388">
        <v>17.899999999999999</v>
      </c>
      <c r="Q41" s="132">
        <v>16702976</v>
      </c>
      <c r="R41" s="389">
        <v>3.3000000000000003</v>
      </c>
      <c r="S41" s="390">
        <v>-9.6314448081021649</v>
      </c>
      <c r="T41" s="487">
        <v>97.8</v>
      </c>
      <c r="U41" s="442" t="s">
        <v>251</v>
      </c>
    </row>
    <row r="42" spans="1:21" ht="15" customHeight="1" thickBot="1">
      <c r="A42" s="151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52"/>
      <c r="N42" s="153"/>
      <c r="O42" s="153"/>
      <c r="P42" s="153"/>
      <c r="Q42" s="153"/>
      <c r="R42" s="153"/>
      <c r="S42" s="153"/>
      <c r="T42" s="153"/>
      <c r="U42" s="381"/>
    </row>
    <row r="43" spans="1:21" ht="15" customHeight="1">
      <c r="A43" s="24"/>
    </row>
    <row r="44" spans="1:21" ht="15" customHeight="1">
      <c r="A44" s="176" t="s">
        <v>281</v>
      </c>
    </row>
    <row r="45" spans="1:21" ht="15" customHeight="1"/>
    <row r="46" spans="1:21" ht="15" customHeight="1"/>
    <row r="47" spans="1:21" ht="15" customHeight="1"/>
    <row r="48" spans="1:21" ht="15" customHeight="1"/>
    <row r="49" ht="15" customHeight="1"/>
    <row r="50" ht="15" customHeight="1"/>
  </sheetData>
  <mergeCells count="62">
    <mergeCell ref="U25:U29"/>
    <mergeCell ref="A25:A29"/>
    <mergeCell ref="J26:J29"/>
    <mergeCell ref="L26:L29"/>
    <mergeCell ref="N26:N29"/>
    <mergeCell ref="T26:T29"/>
    <mergeCell ref="E26:E29"/>
    <mergeCell ref="F26:F29"/>
    <mergeCell ref="K27:K29"/>
    <mergeCell ref="G26:G29"/>
    <mergeCell ref="H26:H29"/>
    <mergeCell ref="M26:M29"/>
    <mergeCell ref="O26:O29"/>
    <mergeCell ref="P26:P29"/>
    <mergeCell ref="B26:B29"/>
    <mergeCell ref="S26:S29"/>
    <mergeCell ref="P10:Q10"/>
    <mergeCell ref="P11:Q11"/>
    <mergeCell ref="P12:Q12"/>
    <mergeCell ref="C26:C29"/>
    <mergeCell ref="D26:D29"/>
    <mergeCell ref="B25:D25"/>
    <mergeCell ref="J25:L25"/>
    <mergeCell ref="E25:I25"/>
    <mergeCell ref="I26:I29"/>
    <mergeCell ref="P14:Q14"/>
    <mergeCell ref="P15:Q15"/>
    <mergeCell ref="P13:Q13"/>
    <mergeCell ref="P16:Q16"/>
    <mergeCell ref="P17:Q17"/>
    <mergeCell ref="P18:Q18"/>
    <mergeCell ref="P19:Q19"/>
    <mergeCell ref="A5:A9"/>
    <mergeCell ref="B5:D5"/>
    <mergeCell ref="N6:N9"/>
    <mergeCell ref="O6:O9"/>
    <mergeCell ref="F6:F9"/>
    <mergeCell ref="B6:B9"/>
    <mergeCell ref="C6:C9"/>
    <mergeCell ref="D6:D9"/>
    <mergeCell ref="E6:E9"/>
    <mergeCell ref="G6:G9"/>
    <mergeCell ref="H6:H9"/>
    <mergeCell ref="U5:U9"/>
    <mergeCell ref="I6:I9"/>
    <mergeCell ref="J6:J9"/>
    <mergeCell ref="L6:L9"/>
    <mergeCell ref="M6:M9"/>
    <mergeCell ref="E5:I5"/>
    <mergeCell ref="K7:K9"/>
    <mergeCell ref="J5:L5"/>
    <mergeCell ref="M5:T5"/>
    <mergeCell ref="T6:T9"/>
    <mergeCell ref="P6:Q9"/>
    <mergeCell ref="R6:R9"/>
    <mergeCell ref="S6:S9"/>
    <mergeCell ref="P20:Q20"/>
    <mergeCell ref="P22:Q22"/>
    <mergeCell ref="Q27:Q29"/>
    <mergeCell ref="R26:R29"/>
    <mergeCell ref="P21:Q21"/>
    <mergeCell ref="M25:T25"/>
  </mergeCells>
  <phoneticPr fontId="2" type="noConversion"/>
  <pageMargins left="0.44" right="0.35" top="0.63" bottom="0.54" header="0.17" footer="0.34"/>
  <pageSetup paperSize="9" scale="63" orientation="landscape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zoomScaleNormal="100" zoomScaleSheetLayoutView="90" workbookViewId="0">
      <pane xSplit="1" ySplit="10" topLeftCell="B20" activePane="bottomRight" state="frozen"/>
      <selection activeCell="P22" sqref="P22"/>
      <selection pane="topRight" activeCell="P22" sqref="P22"/>
      <selection pane="bottomLeft" activeCell="P22" sqref="P22"/>
      <selection pane="bottomRight" activeCell="B12" sqref="B12:L39"/>
    </sheetView>
  </sheetViews>
  <sheetFormatPr defaultColWidth="9.77734375" defaultRowHeight="12.95" customHeight="1"/>
  <cols>
    <col min="1" max="1" width="14.77734375" style="32" customWidth="1"/>
    <col min="2" max="3" width="11.77734375" style="32" customWidth="1"/>
    <col min="4" max="4" width="12.77734375" style="32" customWidth="1"/>
    <col min="5" max="12" width="11.77734375" style="32" customWidth="1"/>
    <col min="13" max="16384" width="9.77734375" style="33"/>
  </cols>
  <sheetData>
    <row r="1" spans="1:12" ht="15" customHeight="1">
      <c r="F1" s="43"/>
      <c r="G1" s="43"/>
    </row>
    <row r="2" spans="1:12" ht="15" customHeight="1">
      <c r="A2" s="19" t="s">
        <v>38</v>
      </c>
      <c r="B2" s="34"/>
      <c r="C2" s="34"/>
      <c r="D2" s="34"/>
      <c r="E2" s="34"/>
      <c r="F2" s="103"/>
      <c r="G2" s="103"/>
      <c r="H2" s="34"/>
      <c r="I2" s="34"/>
      <c r="J2" s="34"/>
      <c r="K2" s="34"/>
      <c r="L2" s="23"/>
    </row>
    <row r="3" spans="1:12" ht="15" customHeight="1">
      <c r="A3" s="19" t="s">
        <v>66</v>
      </c>
      <c r="B3" s="34"/>
      <c r="C3" s="34"/>
      <c r="D3" s="34"/>
      <c r="E3" s="34"/>
      <c r="F3" s="103"/>
      <c r="G3" s="103"/>
      <c r="H3" s="34"/>
      <c r="I3" s="34"/>
      <c r="J3" s="34"/>
      <c r="K3" s="34"/>
      <c r="L3" s="23"/>
    </row>
    <row r="4" spans="1:12" ht="15" customHeight="1">
      <c r="A4" s="19"/>
      <c r="B4" s="34"/>
      <c r="C4" s="34"/>
      <c r="D4" s="28"/>
      <c r="E4" s="34"/>
      <c r="F4" s="103"/>
      <c r="G4" s="103"/>
      <c r="H4" s="34"/>
      <c r="I4" s="34"/>
      <c r="J4" s="34"/>
      <c r="K4" s="34"/>
      <c r="L4" s="34"/>
    </row>
    <row r="5" spans="1:12" ht="15" customHeight="1">
      <c r="A5" s="19"/>
      <c r="B5" s="34"/>
      <c r="C5" s="34"/>
      <c r="D5" s="34"/>
      <c r="E5" s="34"/>
      <c r="F5" s="103"/>
      <c r="G5" s="103"/>
      <c r="H5" s="34"/>
      <c r="I5" s="34"/>
      <c r="J5" s="34"/>
      <c r="K5" s="34"/>
      <c r="L5" s="34"/>
    </row>
    <row r="6" spans="1:12" ht="15" customHeight="1" thickBot="1">
      <c r="A6" s="177" t="s">
        <v>298</v>
      </c>
      <c r="B6" s="13"/>
      <c r="C6" s="13"/>
      <c r="D6" s="13"/>
      <c r="E6" s="35"/>
      <c r="F6" s="13"/>
      <c r="G6" s="13"/>
      <c r="H6" s="35"/>
      <c r="I6" s="35"/>
      <c r="J6" s="35"/>
      <c r="K6" s="35"/>
      <c r="L6" s="178" t="s">
        <v>67</v>
      </c>
    </row>
    <row r="7" spans="1:12" ht="15" customHeight="1">
      <c r="A7" s="515"/>
      <c r="B7" s="506" t="s">
        <v>43</v>
      </c>
      <c r="C7" s="507"/>
      <c r="D7" s="507"/>
      <c r="E7" s="506" t="s">
        <v>46</v>
      </c>
      <c r="F7" s="507"/>
      <c r="G7" s="507"/>
      <c r="H7" s="507"/>
      <c r="I7" s="508"/>
      <c r="J7" s="506" t="s">
        <v>55</v>
      </c>
      <c r="K7" s="507"/>
      <c r="L7" s="507"/>
    </row>
    <row r="8" spans="1:12" ht="15" customHeight="1">
      <c r="A8" s="516"/>
      <c r="B8" s="501" t="s">
        <v>42</v>
      </c>
      <c r="C8" s="501" t="s">
        <v>44</v>
      </c>
      <c r="D8" s="501" t="s">
        <v>45</v>
      </c>
      <c r="E8" s="501" t="s">
        <v>68</v>
      </c>
      <c r="F8" s="501" t="s">
        <v>69</v>
      </c>
      <c r="G8" s="501" t="s">
        <v>49</v>
      </c>
      <c r="H8" s="501" t="s">
        <v>50</v>
      </c>
      <c r="I8" s="501" t="s">
        <v>70</v>
      </c>
      <c r="J8" s="501" t="s">
        <v>52</v>
      </c>
      <c r="K8" s="501" t="s">
        <v>29</v>
      </c>
      <c r="L8" s="504" t="s">
        <v>54</v>
      </c>
    </row>
    <row r="9" spans="1:12" ht="15" customHeight="1">
      <c r="A9" s="516"/>
      <c r="B9" s="502"/>
      <c r="C9" s="502"/>
      <c r="D9" s="502"/>
      <c r="E9" s="502"/>
      <c r="F9" s="502"/>
      <c r="G9" s="502"/>
      <c r="H9" s="502"/>
      <c r="I9" s="502"/>
      <c r="J9" s="502"/>
      <c r="K9" s="502"/>
      <c r="L9" s="500"/>
    </row>
    <row r="10" spans="1:12" ht="15" customHeight="1">
      <c r="A10" s="523"/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5"/>
    </row>
    <row r="11" spans="1:12" ht="15" customHeight="1">
      <c r="A11" s="154"/>
      <c r="B11" s="155"/>
      <c r="C11" s="156"/>
      <c r="D11" s="155"/>
      <c r="E11" s="155"/>
      <c r="F11" s="156"/>
      <c r="G11" s="156"/>
      <c r="H11" s="156"/>
      <c r="I11" s="156"/>
      <c r="J11" s="156"/>
      <c r="K11" s="156"/>
      <c r="L11" s="157"/>
    </row>
    <row r="12" spans="1:12" ht="15" customHeight="1">
      <c r="A12" s="158" t="s">
        <v>35</v>
      </c>
      <c r="B12" s="159">
        <v>27116048</v>
      </c>
      <c r="C12" s="149">
        <v>22609052</v>
      </c>
      <c r="D12" s="149">
        <v>308629683</v>
      </c>
      <c r="E12" s="159">
        <v>3438764</v>
      </c>
      <c r="F12" s="149">
        <v>2758462</v>
      </c>
      <c r="G12" s="160">
        <v>6253018</v>
      </c>
      <c r="H12" s="159">
        <v>6153939</v>
      </c>
      <c r="I12" s="149">
        <v>577893</v>
      </c>
      <c r="J12" s="159">
        <v>110517438</v>
      </c>
      <c r="K12" s="149">
        <v>14902694</v>
      </c>
      <c r="L12" s="161">
        <v>93638722</v>
      </c>
    </row>
    <row r="13" spans="1:12" ht="15" customHeight="1">
      <c r="A13" s="158" t="s">
        <v>4</v>
      </c>
      <c r="B13" s="159">
        <v>10346347</v>
      </c>
      <c r="C13" s="149">
        <v>4670498</v>
      </c>
      <c r="D13" s="149">
        <v>52678079</v>
      </c>
      <c r="E13" s="159">
        <v>494992</v>
      </c>
      <c r="F13" s="149">
        <v>433027</v>
      </c>
      <c r="G13" s="160">
        <v>1053378</v>
      </c>
      <c r="H13" s="159">
        <v>1014900</v>
      </c>
      <c r="I13" s="149">
        <v>37534</v>
      </c>
      <c r="J13" s="159">
        <v>16802779</v>
      </c>
      <c r="K13" s="149">
        <v>2300273</v>
      </c>
      <c r="L13" s="161">
        <v>14071550</v>
      </c>
    </row>
    <row r="14" spans="1:12" ht="15" customHeight="1">
      <c r="A14" s="158" t="s">
        <v>206</v>
      </c>
      <c r="B14" s="159">
        <v>39336512</v>
      </c>
      <c r="C14" s="149">
        <v>42052308</v>
      </c>
      <c r="D14" s="149">
        <v>614241340</v>
      </c>
      <c r="E14" s="159">
        <v>6295962</v>
      </c>
      <c r="F14" s="149">
        <v>5032457</v>
      </c>
      <c r="G14" s="160">
        <v>12538587</v>
      </c>
      <c r="H14" s="159">
        <v>12414734</v>
      </c>
      <c r="I14" s="149">
        <v>1126063</v>
      </c>
      <c r="J14" s="159">
        <v>267795942</v>
      </c>
      <c r="K14" s="149">
        <v>26561902</v>
      </c>
      <c r="L14" s="161">
        <v>237238425</v>
      </c>
    </row>
    <row r="15" spans="1:12" ht="15" customHeight="1">
      <c r="A15" s="158" t="s">
        <v>207</v>
      </c>
      <c r="B15" s="159">
        <v>2180946</v>
      </c>
      <c r="C15" s="149">
        <v>6367703</v>
      </c>
      <c r="D15" s="149">
        <v>66674486</v>
      </c>
      <c r="E15" s="159">
        <v>694518</v>
      </c>
      <c r="F15" s="149">
        <v>582813</v>
      </c>
      <c r="G15" s="160">
        <v>1235081</v>
      </c>
      <c r="H15" s="159">
        <v>1220204</v>
      </c>
      <c r="I15" s="149">
        <v>87278</v>
      </c>
      <c r="J15" s="159">
        <v>24550015</v>
      </c>
      <c r="K15" s="149">
        <v>1232914</v>
      </c>
      <c r="L15" s="161">
        <v>22989647</v>
      </c>
    </row>
    <row r="16" spans="1:12" ht="15" customHeight="1">
      <c r="A16" s="158" t="s">
        <v>208</v>
      </c>
      <c r="B16" s="159">
        <v>37564522</v>
      </c>
      <c r="C16" s="149">
        <v>23843825</v>
      </c>
      <c r="D16" s="149">
        <v>304379585</v>
      </c>
      <c r="E16" s="159">
        <v>2742682</v>
      </c>
      <c r="F16" s="149">
        <v>2530495</v>
      </c>
      <c r="G16" s="160">
        <v>6677690</v>
      </c>
      <c r="H16" s="159">
        <v>6061876</v>
      </c>
      <c r="I16" s="149">
        <v>602859</v>
      </c>
      <c r="J16" s="159">
        <v>107498252</v>
      </c>
      <c r="K16" s="149">
        <v>15054431</v>
      </c>
      <c r="L16" s="161">
        <v>90660052</v>
      </c>
    </row>
    <row r="17" spans="1:12" ht="15" customHeight="1">
      <c r="A17" s="158" t="s">
        <v>8</v>
      </c>
      <c r="B17" s="159">
        <v>3076000</v>
      </c>
      <c r="C17" s="149">
        <v>2308929</v>
      </c>
      <c r="D17" s="149">
        <v>16051701</v>
      </c>
      <c r="E17" s="159">
        <v>183761</v>
      </c>
      <c r="F17" s="149">
        <v>115286</v>
      </c>
      <c r="G17" s="160">
        <v>416309</v>
      </c>
      <c r="H17" s="159">
        <v>403538</v>
      </c>
      <c r="I17" s="149">
        <v>55022</v>
      </c>
      <c r="J17" s="159">
        <v>5754026</v>
      </c>
      <c r="K17" s="149">
        <v>1114498</v>
      </c>
      <c r="L17" s="161">
        <v>4408169</v>
      </c>
    </row>
    <row r="18" spans="1:12" ht="15" customHeight="1">
      <c r="A18" s="158" t="s">
        <v>209</v>
      </c>
      <c r="B18" s="159">
        <v>4820813</v>
      </c>
      <c r="C18" s="149">
        <v>8699925</v>
      </c>
      <c r="D18" s="149">
        <v>84591328</v>
      </c>
      <c r="E18" s="159">
        <v>676812</v>
      </c>
      <c r="F18" s="149">
        <v>515344</v>
      </c>
      <c r="G18" s="160">
        <v>2798236</v>
      </c>
      <c r="H18" s="159">
        <v>2701461</v>
      </c>
      <c r="I18" s="149">
        <v>159231</v>
      </c>
      <c r="J18" s="159">
        <v>32259330</v>
      </c>
      <c r="K18" s="149">
        <v>11978736</v>
      </c>
      <c r="L18" s="161">
        <v>19292534</v>
      </c>
    </row>
    <row r="19" spans="1:12" ht="15" customHeight="1">
      <c r="A19" s="158" t="s">
        <v>10</v>
      </c>
      <c r="B19" s="159">
        <v>2480004</v>
      </c>
      <c r="C19" s="149">
        <v>4212466</v>
      </c>
      <c r="D19" s="149">
        <v>47372044</v>
      </c>
      <c r="E19" s="159">
        <v>357041</v>
      </c>
      <c r="F19" s="149">
        <v>361521</v>
      </c>
      <c r="G19" s="160">
        <v>776368</v>
      </c>
      <c r="H19" s="159">
        <v>782396</v>
      </c>
      <c r="I19" s="149">
        <v>-17908</v>
      </c>
      <c r="J19" s="159">
        <v>16861946</v>
      </c>
      <c r="K19" s="149">
        <v>694695</v>
      </c>
      <c r="L19" s="161">
        <v>15796816</v>
      </c>
    </row>
    <row r="20" spans="1:12" ht="15" customHeight="1">
      <c r="A20" s="158" t="s">
        <v>11</v>
      </c>
      <c r="B20" s="159">
        <v>3722629</v>
      </c>
      <c r="C20" s="149">
        <v>3801461</v>
      </c>
      <c r="D20" s="149">
        <v>44459999</v>
      </c>
      <c r="E20" s="159">
        <v>467860</v>
      </c>
      <c r="F20" s="149">
        <v>374242</v>
      </c>
      <c r="G20" s="160">
        <v>667304</v>
      </c>
      <c r="H20" s="159">
        <v>603054</v>
      </c>
      <c r="I20" s="149">
        <v>115095</v>
      </c>
      <c r="J20" s="159">
        <v>9690619</v>
      </c>
      <c r="K20" s="149">
        <v>1155015</v>
      </c>
      <c r="L20" s="161">
        <v>8188124</v>
      </c>
    </row>
    <row r="21" spans="1:12" ht="15" customHeight="1">
      <c r="A21" s="158" t="s">
        <v>210</v>
      </c>
      <c r="B21" s="159">
        <v>6743962</v>
      </c>
      <c r="C21" s="149">
        <v>7700843</v>
      </c>
      <c r="D21" s="149">
        <v>87847908</v>
      </c>
      <c r="E21" s="159">
        <v>824909</v>
      </c>
      <c r="F21" s="149">
        <v>624537</v>
      </c>
      <c r="G21" s="160">
        <v>1620706</v>
      </c>
      <c r="H21" s="159">
        <v>1529518</v>
      </c>
      <c r="I21" s="149">
        <v>217494</v>
      </c>
      <c r="J21" s="159">
        <v>31626403</v>
      </c>
      <c r="K21" s="149">
        <v>1142747</v>
      </c>
      <c r="L21" s="161">
        <v>29937314</v>
      </c>
    </row>
    <row r="22" spans="1:12" ht="15" customHeight="1">
      <c r="A22" s="158" t="s">
        <v>211</v>
      </c>
      <c r="B22" s="159">
        <v>5568547</v>
      </c>
      <c r="C22" s="149">
        <v>6343164</v>
      </c>
      <c r="D22" s="149">
        <v>69268299</v>
      </c>
      <c r="E22" s="159">
        <v>669570</v>
      </c>
      <c r="F22" s="149">
        <v>477293</v>
      </c>
      <c r="G22" s="160">
        <v>2136029</v>
      </c>
      <c r="H22" s="159">
        <v>2037911</v>
      </c>
      <c r="I22" s="149">
        <v>221829</v>
      </c>
      <c r="J22" s="159">
        <v>21996546</v>
      </c>
      <c r="K22" s="149">
        <v>10894512</v>
      </c>
      <c r="L22" s="161">
        <v>10808046</v>
      </c>
    </row>
    <row r="23" spans="1:12" ht="15" customHeight="1">
      <c r="A23" s="158" t="s">
        <v>27</v>
      </c>
      <c r="B23" s="159">
        <v>5995036</v>
      </c>
      <c r="C23" s="149">
        <v>7217659</v>
      </c>
      <c r="D23" s="149">
        <v>84871443</v>
      </c>
      <c r="E23" s="159">
        <v>566025</v>
      </c>
      <c r="F23" s="149">
        <v>332037</v>
      </c>
      <c r="G23" s="160">
        <v>1587366</v>
      </c>
      <c r="H23" s="159">
        <v>1397487</v>
      </c>
      <c r="I23" s="149">
        <v>296874</v>
      </c>
      <c r="J23" s="159">
        <v>30470741</v>
      </c>
      <c r="K23" s="149">
        <v>5656279</v>
      </c>
      <c r="L23" s="161">
        <v>24201451</v>
      </c>
    </row>
    <row r="24" spans="1:12" ht="15" customHeight="1">
      <c r="A24" s="162" t="s">
        <v>23</v>
      </c>
      <c r="B24" s="159">
        <v>16453343</v>
      </c>
      <c r="C24" s="149">
        <v>16271054</v>
      </c>
      <c r="D24" s="149">
        <v>187710758</v>
      </c>
      <c r="E24" s="159">
        <v>1953132</v>
      </c>
      <c r="F24" s="149">
        <v>1337990</v>
      </c>
      <c r="G24" s="160">
        <v>2699813</v>
      </c>
      <c r="H24" s="159">
        <v>2612227</v>
      </c>
      <c r="I24" s="149">
        <v>430331</v>
      </c>
      <c r="J24" s="159">
        <v>57012814</v>
      </c>
      <c r="K24" s="149">
        <v>5817464</v>
      </c>
      <c r="L24" s="161">
        <v>49634806</v>
      </c>
    </row>
    <row r="25" spans="1:12" ht="15" customHeight="1">
      <c r="A25" s="158" t="s">
        <v>212</v>
      </c>
      <c r="B25" s="159">
        <v>130397</v>
      </c>
      <c r="C25" s="149">
        <v>501710</v>
      </c>
      <c r="D25" s="149">
        <v>4299951</v>
      </c>
      <c r="E25" s="159">
        <v>47568</v>
      </c>
      <c r="F25" s="149">
        <v>40283</v>
      </c>
      <c r="G25" s="160">
        <v>88783</v>
      </c>
      <c r="H25" s="159">
        <v>67438</v>
      </c>
      <c r="I25" s="149">
        <v>22896</v>
      </c>
      <c r="J25" s="159">
        <v>1494397</v>
      </c>
      <c r="K25" s="149">
        <v>311816</v>
      </c>
      <c r="L25" s="161">
        <v>1137485</v>
      </c>
    </row>
    <row r="26" spans="1:12" ht="15" customHeight="1">
      <c r="A26" s="158" t="s">
        <v>213</v>
      </c>
      <c r="B26" s="159">
        <v>2112942</v>
      </c>
      <c r="C26" s="149">
        <v>893688</v>
      </c>
      <c r="D26" s="149">
        <v>8360284</v>
      </c>
      <c r="E26" s="159">
        <v>63754</v>
      </c>
      <c r="F26" s="149">
        <v>49516</v>
      </c>
      <c r="G26" s="160">
        <v>490914</v>
      </c>
      <c r="H26" s="159">
        <v>469360</v>
      </c>
      <c r="I26" s="149">
        <v>16957</v>
      </c>
      <c r="J26" s="159">
        <v>6051451</v>
      </c>
      <c r="K26" s="149">
        <v>1165088</v>
      </c>
      <c r="L26" s="161">
        <v>4762372</v>
      </c>
    </row>
    <row r="27" spans="1:12" ht="15" customHeight="1">
      <c r="A27" s="158" t="s">
        <v>214</v>
      </c>
      <c r="B27" s="159">
        <v>2041442</v>
      </c>
      <c r="C27" s="149">
        <v>685911</v>
      </c>
      <c r="D27" s="149">
        <v>4428395</v>
      </c>
      <c r="E27" s="159">
        <v>31035</v>
      </c>
      <c r="F27" s="149">
        <v>17852</v>
      </c>
      <c r="G27" s="160">
        <v>200967</v>
      </c>
      <c r="H27" s="159">
        <v>210648</v>
      </c>
      <c r="I27" s="149">
        <v>-4849</v>
      </c>
      <c r="J27" s="159">
        <v>2923579</v>
      </c>
      <c r="K27" s="149">
        <v>1193205</v>
      </c>
      <c r="L27" s="161">
        <v>1683180</v>
      </c>
    </row>
    <row r="28" spans="1:12" ht="15" customHeight="1">
      <c r="A28" s="158" t="s">
        <v>215</v>
      </c>
      <c r="B28" s="159">
        <v>6676290</v>
      </c>
      <c r="C28" s="149">
        <v>3453620</v>
      </c>
      <c r="D28" s="149">
        <v>30257024</v>
      </c>
      <c r="E28" s="159">
        <v>150832</v>
      </c>
      <c r="F28" s="149">
        <v>157683</v>
      </c>
      <c r="G28" s="160">
        <v>1039429</v>
      </c>
      <c r="H28" s="159">
        <v>1063948</v>
      </c>
      <c r="I28" s="149">
        <v>-33705</v>
      </c>
      <c r="J28" s="159">
        <v>18516283</v>
      </c>
      <c r="K28" s="149">
        <v>19437</v>
      </c>
      <c r="L28" s="161">
        <v>17785404</v>
      </c>
    </row>
    <row r="29" spans="1:12" ht="15" customHeight="1">
      <c r="A29" s="158" t="s">
        <v>216</v>
      </c>
      <c r="B29" s="159">
        <v>11020713</v>
      </c>
      <c r="C29" s="149">
        <v>12481054</v>
      </c>
      <c r="D29" s="149">
        <v>124108364</v>
      </c>
      <c r="E29" s="159">
        <v>1694542</v>
      </c>
      <c r="F29" s="149">
        <v>1363225</v>
      </c>
      <c r="G29" s="160">
        <v>377158</v>
      </c>
      <c r="H29" s="159">
        <v>268508</v>
      </c>
      <c r="I29" s="149">
        <v>316692</v>
      </c>
      <c r="J29" s="159">
        <v>5553395</v>
      </c>
      <c r="K29" s="149">
        <v>87527</v>
      </c>
      <c r="L29" s="161">
        <v>5101360</v>
      </c>
    </row>
    <row r="30" spans="1:12" ht="15" customHeight="1">
      <c r="A30" s="158" t="s">
        <v>19</v>
      </c>
      <c r="B30" s="159">
        <v>17482034</v>
      </c>
      <c r="C30" s="149">
        <v>11217492</v>
      </c>
      <c r="D30" s="149">
        <v>112004496</v>
      </c>
      <c r="E30" s="159">
        <v>942791</v>
      </c>
      <c r="F30" s="149">
        <v>799211</v>
      </c>
      <c r="G30" s="160">
        <v>804039</v>
      </c>
      <c r="H30" s="159">
        <v>754467</v>
      </c>
      <c r="I30" s="149">
        <v>80525</v>
      </c>
      <c r="J30" s="159">
        <v>16116298</v>
      </c>
      <c r="K30" s="149">
        <v>923621</v>
      </c>
      <c r="L30" s="161">
        <v>14907843</v>
      </c>
    </row>
    <row r="31" spans="1:12" ht="15" customHeight="1">
      <c r="A31" s="158" t="s">
        <v>20</v>
      </c>
      <c r="B31" s="159">
        <v>1174496</v>
      </c>
      <c r="C31" s="149">
        <v>1666167</v>
      </c>
      <c r="D31" s="149">
        <v>13618401</v>
      </c>
      <c r="E31" s="159">
        <v>62500</v>
      </c>
      <c r="F31" s="149">
        <v>48453</v>
      </c>
      <c r="G31" s="160">
        <v>427299</v>
      </c>
      <c r="H31" s="159">
        <v>485925</v>
      </c>
      <c r="I31" s="149">
        <v>-31793</v>
      </c>
      <c r="J31" s="159">
        <v>11138051</v>
      </c>
      <c r="K31" s="149">
        <v>63572</v>
      </c>
      <c r="L31" s="161">
        <v>10871876</v>
      </c>
    </row>
    <row r="32" spans="1:12" ht="15" customHeight="1">
      <c r="A32" s="158" t="s">
        <v>217</v>
      </c>
      <c r="B32" s="159">
        <v>13677105</v>
      </c>
      <c r="C32" s="149">
        <v>8693711</v>
      </c>
      <c r="D32" s="149">
        <v>104733018</v>
      </c>
      <c r="E32" s="159">
        <v>1141732</v>
      </c>
      <c r="F32" s="149">
        <v>829044</v>
      </c>
      <c r="G32" s="160">
        <v>1959011</v>
      </c>
      <c r="H32" s="159">
        <v>1988118</v>
      </c>
      <c r="I32" s="149">
        <v>135777</v>
      </c>
      <c r="J32" s="159">
        <v>52597469</v>
      </c>
      <c r="K32" s="149">
        <v>0</v>
      </c>
      <c r="L32" s="161">
        <v>51496868</v>
      </c>
    </row>
    <row r="33" spans="1:18" ht="15" customHeight="1">
      <c r="A33" s="158" t="s">
        <v>218</v>
      </c>
      <c r="B33" s="159">
        <v>834475</v>
      </c>
      <c r="C33" s="149">
        <v>346246</v>
      </c>
      <c r="D33" s="149">
        <v>5996218</v>
      </c>
      <c r="E33" s="159">
        <v>17176</v>
      </c>
      <c r="F33" s="149">
        <v>25461</v>
      </c>
      <c r="G33" s="160">
        <v>18061</v>
      </c>
      <c r="H33" s="159">
        <v>21443</v>
      </c>
      <c r="I33" s="149">
        <v>-12804</v>
      </c>
      <c r="J33" s="159">
        <v>673221</v>
      </c>
      <c r="K33" s="149">
        <v>0</v>
      </c>
      <c r="L33" s="161">
        <v>653808</v>
      </c>
    </row>
    <row r="34" spans="1:18" ht="15" customHeight="1">
      <c r="A34" s="158"/>
      <c r="B34" s="163" t="s">
        <v>2</v>
      </c>
      <c r="C34" s="159" t="s">
        <v>2</v>
      </c>
      <c r="D34" s="159" t="s">
        <v>2</v>
      </c>
      <c r="E34" s="163" t="s">
        <v>2</v>
      </c>
      <c r="F34" s="159" t="s">
        <v>2</v>
      </c>
      <c r="G34" s="163" t="s">
        <v>2</v>
      </c>
      <c r="H34" s="159" t="s">
        <v>2</v>
      </c>
      <c r="I34" s="163" t="s">
        <v>2</v>
      </c>
      <c r="J34" s="159" t="s">
        <v>2</v>
      </c>
      <c r="K34" s="159" t="s">
        <v>2</v>
      </c>
      <c r="L34" s="164" t="s">
        <v>2</v>
      </c>
    </row>
    <row r="35" spans="1:18" s="76" customFormat="1" ht="15" customHeight="1">
      <c r="A35" s="165" t="s">
        <v>30</v>
      </c>
      <c r="B35" s="166">
        <v>220554604</v>
      </c>
      <c r="C35" s="166">
        <v>196038487</v>
      </c>
      <c r="D35" s="166">
        <v>2376582804</v>
      </c>
      <c r="E35" s="166">
        <v>23517956</v>
      </c>
      <c r="F35" s="166">
        <v>18806231</v>
      </c>
      <c r="G35" s="166">
        <v>45865547</v>
      </c>
      <c r="H35" s="166">
        <v>44263101</v>
      </c>
      <c r="I35" s="166">
        <v>4399289</v>
      </c>
      <c r="J35" s="166">
        <v>847900994</v>
      </c>
      <c r="K35" s="439">
        <v>102270426</v>
      </c>
      <c r="L35" s="167">
        <v>729265852</v>
      </c>
    </row>
    <row r="36" spans="1:18" s="76" customFormat="1" ht="15" customHeight="1">
      <c r="A36" s="165"/>
      <c r="B36" s="166" t="s">
        <v>2</v>
      </c>
      <c r="C36" s="166" t="s">
        <v>2</v>
      </c>
      <c r="D36" s="166" t="s">
        <v>2</v>
      </c>
      <c r="E36" s="166" t="s">
        <v>2</v>
      </c>
      <c r="F36" s="166" t="s">
        <v>2</v>
      </c>
      <c r="G36" s="166" t="s">
        <v>2</v>
      </c>
      <c r="H36" s="166" t="s">
        <v>2</v>
      </c>
      <c r="I36" s="166" t="s">
        <v>2</v>
      </c>
      <c r="J36" s="166" t="s">
        <v>2</v>
      </c>
      <c r="K36" s="439" t="s">
        <v>2</v>
      </c>
      <c r="L36" s="167" t="s">
        <v>2</v>
      </c>
    </row>
    <row r="37" spans="1:18" s="76" customFormat="1" ht="15" customHeight="1">
      <c r="A37" s="654" t="s">
        <v>299</v>
      </c>
      <c r="B37" s="444">
        <v>203096721</v>
      </c>
      <c r="C37" s="444">
        <v>178589508</v>
      </c>
      <c r="D37" s="444">
        <v>2380220442</v>
      </c>
      <c r="E37" s="444">
        <v>23517956</v>
      </c>
      <c r="F37" s="444">
        <v>18806231</v>
      </c>
      <c r="G37" s="444">
        <v>45865547</v>
      </c>
      <c r="H37" s="444">
        <v>44263101</v>
      </c>
      <c r="I37" s="444">
        <v>4399289</v>
      </c>
      <c r="J37" s="444">
        <v>819257787</v>
      </c>
      <c r="K37" s="445">
        <v>97844631</v>
      </c>
      <c r="L37" s="446">
        <v>707098888</v>
      </c>
    </row>
    <row r="38" spans="1:18" ht="15" customHeight="1">
      <c r="A38" s="654" t="s">
        <v>300</v>
      </c>
      <c r="B38" s="444">
        <v>185870006</v>
      </c>
      <c r="C38" s="444">
        <v>162142864</v>
      </c>
      <c r="D38" s="444">
        <v>2387004773</v>
      </c>
      <c r="E38" s="444">
        <v>23517956</v>
      </c>
      <c r="F38" s="444">
        <v>18806231</v>
      </c>
      <c r="G38" s="444">
        <v>45865547</v>
      </c>
      <c r="H38" s="444">
        <v>44263101</v>
      </c>
      <c r="I38" s="444">
        <v>4399289</v>
      </c>
      <c r="J38" s="444">
        <v>831370543</v>
      </c>
      <c r="K38" s="445">
        <v>100541112</v>
      </c>
      <c r="L38" s="446">
        <v>716755094</v>
      </c>
    </row>
    <row r="39" spans="1:18" s="76" customFormat="1" ht="15" customHeight="1">
      <c r="A39" s="654" t="s">
        <v>301</v>
      </c>
      <c r="B39" s="444">
        <v>169314711</v>
      </c>
      <c r="C39" s="444">
        <v>146753401</v>
      </c>
      <c r="D39" s="444">
        <v>2391510987</v>
      </c>
      <c r="E39" s="444">
        <v>15309840</v>
      </c>
      <c r="F39" s="444">
        <v>12084804</v>
      </c>
      <c r="G39" s="444">
        <v>34480228</v>
      </c>
      <c r="H39" s="444">
        <v>32333546</v>
      </c>
      <c r="I39" s="444">
        <v>3829374</v>
      </c>
      <c r="J39" s="444">
        <v>839917184</v>
      </c>
      <c r="K39" s="445">
        <v>103531591</v>
      </c>
      <c r="L39" s="446">
        <v>721752781</v>
      </c>
    </row>
    <row r="40" spans="1:18" ht="15" customHeight="1" thickBot="1">
      <c r="A40" s="168"/>
      <c r="B40" s="169"/>
      <c r="C40" s="169"/>
      <c r="D40" s="169"/>
      <c r="E40" s="169"/>
      <c r="F40" s="170"/>
      <c r="G40" s="169"/>
      <c r="H40" s="170"/>
      <c r="I40" s="169"/>
      <c r="J40" s="170"/>
      <c r="K40" s="171"/>
      <c r="L40" s="172"/>
      <c r="M40" s="97"/>
    </row>
    <row r="41" spans="1:18" ht="15" customHeight="1">
      <c r="A41" s="8"/>
      <c r="B41" s="173"/>
      <c r="C41" s="174"/>
      <c r="D41" s="175"/>
      <c r="E41" s="174"/>
      <c r="F41" s="6"/>
      <c r="G41" s="29"/>
      <c r="H41" s="6"/>
      <c r="I41" s="29"/>
      <c r="J41" s="6"/>
      <c r="K41" s="38"/>
      <c r="L41" s="29"/>
      <c r="M41" s="32"/>
      <c r="N41" s="29"/>
      <c r="O41" s="29"/>
      <c r="P41" s="29"/>
      <c r="Q41" s="29"/>
      <c r="R41" s="6"/>
    </row>
    <row r="42" spans="1:18" ht="15" customHeight="1">
      <c r="A42" s="176" t="s">
        <v>281</v>
      </c>
      <c r="B42" s="8"/>
      <c r="C42" s="8"/>
      <c r="D42" s="8"/>
      <c r="E42" s="8"/>
      <c r="M42" s="32"/>
      <c r="N42" s="32"/>
      <c r="O42" s="32"/>
      <c r="P42" s="32"/>
      <c r="Q42" s="32"/>
      <c r="R42" s="32"/>
    </row>
    <row r="43" spans="1:18" ht="15" customHeight="1"/>
    <row r="44" spans="1:18" ht="15" customHeight="1"/>
    <row r="75" spans="2:12" ht="12.95" customHeight="1"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</row>
    <row r="76" spans="2:12" ht="12.95" customHeight="1"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</row>
    <row r="77" spans="2:12" ht="12.95" customHeight="1"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</row>
    <row r="78" spans="2:12" ht="12.95" customHeight="1"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</row>
    <row r="79" spans="2:12" ht="12.95" customHeight="1"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</row>
    <row r="80" spans="2:12" ht="12.95" customHeight="1"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</row>
    <row r="81" spans="2:12" ht="12.95" customHeight="1"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</row>
    <row r="82" spans="2:12" ht="12.95" customHeight="1"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</row>
    <row r="83" spans="2:12" ht="12.95" customHeight="1"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</row>
    <row r="84" spans="2:12" ht="12.95" customHeight="1"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</row>
    <row r="85" spans="2:12" ht="12.95" customHeight="1"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</row>
    <row r="86" spans="2:12" ht="12.95" customHeight="1"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</row>
    <row r="87" spans="2:12" ht="12.95" customHeight="1"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</row>
    <row r="88" spans="2:12" ht="12.95" customHeight="1"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</row>
    <row r="89" spans="2:12" ht="12.95" customHeight="1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</row>
    <row r="90" spans="2:12" ht="12.95" customHeight="1"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</row>
    <row r="91" spans="2:12" ht="12.95" customHeight="1"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</row>
    <row r="92" spans="2:12" ht="12.95" customHeight="1"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</row>
    <row r="93" spans="2:12" ht="12.95" customHeight="1"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</row>
    <row r="94" spans="2:12" ht="12.95" customHeight="1"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</row>
    <row r="95" spans="2:12" ht="12.95" customHeight="1"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</row>
    <row r="96" spans="2:12" ht="12.95" customHeight="1"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</row>
    <row r="97" spans="2:12" ht="12.95" customHeight="1"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</row>
    <row r="98" spans="2:12" ht="12.95" customHeight="1"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</row>
    <row r="99" spans="2:12" ht="12.95" customHeight="1"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</row>
    <row r="100" spans="2:12" ht="12.95" customHeight="1"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</row>
    <row r="101" spans="2:12" ht="12.95" customHeight="1"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</row>
    <row r="102" spans="2:12" ht="12.95" customHeight="1"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</row>
    <row r="103" spans="2:12" ht="12.95" customHeight="1"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</row>
    <row r="104" spans="2:12" ht="12.95" customHeight="1"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</row>
  </sheetData>
  <mergeCells count="15">
    <mergeCell ref="B7:D7"/>
    <mergeCell ref="B8:B10"/>
    <mergeCell ref="C8:C10"/>
    <mergeCell ref="A7:A10"/>
    <mergeCell ref="J7:L7"/>
    <mergeCell ref="E7:I7"/>
    <mergeCell ref="D8:D10"/>
    <mergeCell ref="L8:L10"/>
    <mergeCell ref="G8:G10"/>
    <mergeCell ref="H8:H10"/>
    <mergeCell ref="I8:I10"/>
    <mergeCell ref="J8:J10"/>
    <mergeCell ref="K8:K10"/>
    <mergeCell ref="E8:E10"/>
    <mergeCell ref="F8:F10"/>
  </mergeCells>
  <phoneticPr fontId="2" type="noConversion"/>
  <pageMargins left="0.49" right="0.26" top="0.51" bottom="0.49" header="0.23" footer="0.31"/>
  <pageSetup paperSize="9" scale="64" orientation="landscape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5"/>
  <sheetViews>
    <sheetView zoomScaleNormal="100" zoomScaleSheetLayoutView="90" workbookViewId="0">
      <pane xSplit="1" ySplit="11" topLeftCell="B24" activePane="bottomRight" state="frozen"/>
      <selection activeCell="P22" sqref="P22"/>
      <selection pane="topRight" activeCell="P22" sqref="P22"/>
      <selection pane="bottomLeft" activeCell="P22" sqref="P22"/>
      <selection pane="bottomRight" activeCell="B13" sqref="B13:P40"/>
    </sheetView>
  </sheetViews>
  <sheetFormatPr defaultColWidth="9.77734375" defaultRowHeight="12.95" customHeight="1"/>
  <cols>
    <col min="1" max="1" width="14.77734375" style="32" customWidth="1"/>
    <col min="2" max="7" width="11.77734375" style="32" customWidth="1"/>
    <col min="8" max="9" width="13.77734375" style="32" customWidth="1"/>
    <col min="10" max="10" width="15.77734375" style="32" customWidth="1"/>
    <col min="11" max="16" width="11.77734375" style="32" customWidth="1"/>
    <col min="17" max="16384" width="9.77734375" style="33"/>
  </cols>
  <sheetData>
    <row r="1" spans="1:16" ht="15" customHeight="1">
      <c r="G1" s="43"/>
      <c r="H1" s="43"/>
      <c r="I1" s="43"/>
      <c r="J1" s="43"/>
      <c r="K1" s="43"/>
      <c r="L1" s="43"/>
    </row>
    <row r="2" spans="1:16" ht="15" customHeight="1">
      <c r="A2" s="19" t="s">
        <v>38</v>
      </c>
      <c r="B2" s="34"/>
      <c r="C2" s="34"/>
      <c r="D2" s="34"/>
      <c r="E2" s="34"/>
      <c r="F2" s="34"/>
      <c r="H2" s="19"/>
      <c r="I2" s="103"/>
      <c r="J2" s="103"/>
      <c r="K2" s="103"/>
      <c r="L2" s="103"/>
      <c r="M2" s="34"/>
      <c r="N2" s="34"/>
      <c r="O2" s="34"/>
    </row>
    <row r="3" spans="1:16" ht="15" customHeight="1">
      <c r="A3" s="19" t="s">
        <v>71</v>
      </c>
      <c r="B3" s="34"/>
      <c r="C3" s="34"/>
      <c r="D3" s="34"/>
      <c r="E3" s="34"/>
      <c r="F3" s="34"/>
      <c r="H3" s="19"/>
      <c r="I3" s="103"/>
      <c r="J3" s="103"/>
      <c r="K3" s="103"/>
      <c r="L3" s="103"/>
      <c r="M3" s="34"/>
      <c r="N3" s="34"/>
      <c r="O3" s="34"/>
    </row>
    <row r="4" spans="1:16" ht="15" customHeight="1">
      <c r="A4" s="19"/>
      <c r="B4" s="34"/>
      <c r="C4" s="34"/>
      <c r="D4" s="28"/>
      <c r="E4" s="34"/>
      <c r="F4" s="34"/>
      <c r="G4" s="103"/>
      <c r="H4" s="103"/>
      <c r="I4" s="103"/>
      <c r="J4" s="103"/>
      <c r="K4" s="103"/>
      <c r="L4" s="103"/>
      <c r="M4" s="34"/>
      <c r="N4" s="34"/>
      <c r="O4" s="34"/>
      <c r="P4" s="34"/>
    </row>
    <row r="5" spans="1:16" ht="15" customHeight="1">
      <c r="A5" s="19"/>
      <c r="B5" s="34"/>
      <c r="C5" s="34"/>
      <c r="D5" s="34"/>
      <c r="E5" s="34"/>
      <c r="F5" s="34"/>
      <c r="G5" s="103"/>
      <c r="H5" s="103"/>
      <c r="I5" s="103"/>
      <c r="J5" s="103"/>
      <c r="K5" s="103"/>
      <c r="L5" s="103"/>
      <c r="M5" s="34"/>
      <c r="N5" s="34"/>
      <c r="O5" s="34"/>
      <c r="P5" s="34"/>
    </row>
    <row r="6" spans="1:16" ht="15" customHeight="1" thickBot="1">
      <c r="A6" s="177" t="str">
        <f>'I-2'!A6</f>
        <v>2023. 1. 1. - 2023. 11. 30.</v>
      </c>
      <c r="B6" s="179"/>
      <c r="C6" s="180"/>
      <c r="D6" s="179"/>
      <c r="E6" s="180"/>
      <c r="F6" s="180"/>
      <c r="G6" s="8"/>
      <c r="H6" s="180"/>
      <c r="I6" s="180"/>
      <c r="J6" s="180"/>
      <c r="K6" s="180"/>
      <c r="L6" s="180"/>
      <c r="M6" s="179"/>
      <c r="N6" s="179"/>
      <c r="O6" s="179"/>
      <c r="P6" s="178" t="s">
        <v>40</v>
      </c>
    </row>
    <row r="7" spans="1:16" ht="15" customHeight="1">
      <c r="A7" s="524"/>
      <c r="B7" s="526" t="s">
        <v>56</v>
      </c>
      <c r="C7" s="528" t="s">
        <v>58</v>
      </c>
      <c r="D7" s="526" t="s">
        <v>59</v>
      </c>
      <c r="E7" s="499" t="s">
        <v>72</v>
      </c>
      <c r="F7" s="530"/>
      <c r="G7" s="526"/>
      <c r="H7" s="499" t="s">
        <v>73</v>
      </c>
      <c r="I7" s="530"/>
      <c r="J7" s="528" t="s">
        <v>76</v>
      </c>
      <c r="K7" s="534" t="s">
        <v>219</v>
      </c>
      <c r="L7" s="187"/>
      <c r="M7" s="535" t="s">
        <v>77</v>
      </c>
      <c r="N7" s="535" t="s">
        <v>78</v>
      </c>
      <c r="O7" s="535" t="s">
        <v>63</v>
      </c>
      <c r="P7" s="537" t="s">
        <v>79</v>
      </c>
    </row>
    <row r="8" spans="1:16" ht="15" customHeight="1">
      <c r="A8" s="525"/>
      <c r="B8" s="527"/>
      <c r="C8" s="502"/>
      <c r="D8" s="527"/>
      <c r="E8" s="500"/>
      <c r="F8" s="531"/>
      <c r="G8" s="527"/>
      <c r="H8" s="500"/>
      <c r="I8" s="531"/>
      <c r="J8" s="502"/>
      <c r="K8" s="511"/>
      <c r="L8" s="493" t="s">
        <v>61</v>
      </c>
      <c r="M8" s="536"/>
      <c r="N8" s="536"/>
      <c r="O8" s="536"/>
      <c r="P8" s="538"/>
    </row>
    <row r="9" spans="1:16" ht="15" customHeight="1">
      <c r="A9" s="525"/>
      <c r="B9" s="527"/>
      <c r="C9" s="502"/>
      <c r="D9" s="527"/>
      <c r="E9" s="500"/>
      <c r="F9" s="531"/>
      <c r="G9" s="527"/>
      <c r="H9" s="501" t="s">
        <v>74</v>
      </c>
      <c r="I9" s="529" t="s">
        <v>75</v>
      </c>
      <c r="J9" s="502"/>
      <c r="K9" s="511"/>
      <c r="L9" s="494"/>
      <c r="M9" s="536"/>
      <c r="N9" s="536"/>
      <c r="O9" s="536"/>
      <c r="P9" s="538"/>
    </row>
    <row r="10" spans="1:16" ht="15" customHeight="1">
      <c r="A10" s="525"/>
      <c r="B10" s="527"/>
      <c r="C10" s="502"/>
      <c r="D10" s="527"/>
      <c r="E10" s="505"/>
      <c r="F10" s="532"/>
      <c r="G10" s="533"/>
      <c r="H10" s="502"/>
      <c r="I10" s="527"/>
      <c r="J10" s="502"/>
      <c r="K10" s="511"/>
      <c r="L10" s="494"/>
      <c r="M10" s="536"/>
      <c r="N10" s="536"/>
      <c r="O10" s="536"/>
      <c r="P10" s="538"/>
    </row>
    <row r="11" spans="1:16" ht="15" customHeight="1">
      <c r="A11" s="525"/>
      <c r="B11" s="527"/>
      <c r="C11" s="502"/>
      <c r="D11" s="527"/>
      <c r="E11" s="377" t="s">
        <v>28</v>
      </c>
      <c r="F11" s="377" t="s">
        <v>29</v>
      </c>
      <c r="G11" s="382" t="s">
        <v>30</v>
      </c>
      <c r="H11" s="502"/>
      <c r="I11" s="527"/>
      <c r="J11" s="502"/>
      <c r="K11" s="511"/>
      <c r="L11" s="494"/>
      <c r="M11" s="536"/>
      <c r="N11" s="536"/>
      <c r="O11" s="536"/>
      <c r="P11" s="538"/>
    </row>
    <row r="12" spans="1:16" ht="15" customHeight="1">
      <c r="A12" s="154"/>
      <c r="B12" s="155"/>
      <c r="C12" s="156"/>
      <c r="D12" s="155"/>
      <c r="E12" s="156"/>
      <c r="F12" s="156"/>
      <c r="G12" s="156"/>
      <c r="H12" s="155"/>
      <c r="I12" s="156"/>
      <c r="J12" s="156"/>
      <c r="K12" s="156"/>
      <c r="L12" s="156"/>
      <c r="M12" s="156"/>
      <c r="N12" s="156"/>
      <c r="O12" s="156"/>
      <c r="P12" s="157"/>
    </row>
    <row r="13" spans="1:16" ht="15" customHeight="1">
      <c r="A13" s="158" t="s">
        <v>35</v>
      </c>
      <c r="B13" s="391">
        <v>8.8000000000000007</v>
      </c>
      <c r="C13" s="391">
        <v>6.7</v>
      </c>
      <c r="D13" s="391">
        <v>-0.2</v>
      </c>
      <c r="E13" s="391">
        <v>108.5</v>
      </c>
      <c r="F13" s="391">
        <v>129.1</v>
      </c>
      <c r="G13" s="391">
        <v>113.20000000000002</v>
      </c>
      <c r="H13" s="160">
        <v>2143</v>
      </c>
      <c r="I13" s="160">
        <v>2684</v>
      </c>
      <c r="J13" s="160">
        <v>175</v>
      </c>
      <c r="K13" s="392">
        <v>25.6</v>
      </c>
      <c r="L13" s="160">
        <v>2920806</v>
      </c>
      <c r="M13" s="234">
        <v>2.8</v>
      </c>
      <c r="N13" s="393">
        <v>2.6</v>
      </c>
      <c r="O13" s="394">
        <v>-12.827485925773093</v>
      </c>
      <c r="P13" s="395">
        <v>97.9</v>
      </c>
    </row>
    <row r="14" spans="1:16" ht="15" customHeight="1">
      <c r="A14" s="158" t="s">
        <v>4</v>
      </c>
      <c r="B14" s="391">
        <v>17.399999999999999</v>
      </c>
      <c r="C14" s="391">
        <v>6.7</v>
      </c>
      <c r="D14" s="391">
        <v>-11.4</v>
      </c>
      <c r="E14" s="391">
        <v>107.89999999999999</v>
      </c>
      <c r="F14" s="391">
        <v>127.4</v>
      </c>
      <c r="G14" s="391">
        <v>112.4</v>
      </c>
      <c r="H14" s="160">
        <v>1189</v>
      </c>
      <c r="I14" s="160">
        <v>2270</v>
      </c>
      <c r="J14" s="160">
        <v>541</v>
      </c>
      <c r="K14" s="396">
        <v>18.8</v>
      </c>
      <c r="L14" s="160">
        <v>405197</v>
      </c>
      <c r="M14" s="234">
        <v>3.5000000000000004</v>
      </c>
      <c r="N14" s="393">
        <v>3.3000000000000003</v>
      </c>
      <c r="O14" s="394">
        <v>-13.106371962574483</v>
      </c>
      <c r="P14" s="395">
        <v>97</v>
      </c>
    </row>
    <row r="15" spans="1:16" ht="15" customHeight="1">
      <c r="A15" s="158" t="s">
        <v>206</v>
      </c>
      <c r="B15" s="391">
        <v>6.3</v>
      </c>
      <c r="C15" s="391">
        <v>6.3</v>
      </c>
      <c r="D15" s="391">
        <v>-2.2999999999999998</v>
      </c>
      <c r="E15" s="391">
        <v>115.99999999999999</v>
      </c>
      <c r="F15" s="391">
        <v>131.6</v>
      </c>
      <c r="G15" s="391">
        <v>120.6</v>
      </c>
      <c r="H15" s="160">
        <v>1690</v>
      </c>
      <c r="I15" s="160">
        <v>3252</v>
      </c>
      <c r="J15" s="160">
        <v>868</v>
      </c>
      <c r="K15" s="396">
        <v>16.899999999999999</v>
      </c>
      <c r="L15" s="160">
        <v>3702360</v>
      </c>
      <c r="M15" s="234">
        <v>3.5000000000000004</v>
      </c>
      <c r="N15" s="393">
        <v>3.7000000000000006</v>
      </c>
      <c r="O15" s="394">
        <v>-4.8675953558370333</v>
      </c>
      <c r="P15" s="395">
        <v>98.3</v>
      </c>
    </row>
    <row r="16" spans="1:16" ht="15" customHeight="1">
      <c r="A16" s="158" t="s">
        <v>207</v>
      </c>
      <c r="B16" s="391">
        <v>3</v>
      </c>
      <c r="C16" s="391">
        <v>8.6</v>
      </c>
      <c r="D16" s="391">
        <v>-7.3</v>
      </c>
      <c r="E16" s="391">
        <v>150.1</v>
      </c>
      <c r="F16" s="391">
        <v>152.19999999999999</v>
      </c>
      <c r="G16" s="391">
        <v>150.69999999999999</v>
      </c>
      <c r="H16" s="160">
        <v>921</v>
      </c>
      <c r="I16" s="160">
        <v>2328</v>
      </c>
      <c r="J16" s="160">
        <v>3994</v>
      </c>
      <c r="K16" s="396">
        <v>15.2</v>
      </c>
      <c r="L16" s="160">
        <v>436662</v>
      </c>
      <c r="M16" s="234">
        <v>4.4000000000000004</v>
      </c>
      <c r="N16" s="393">
        <v>4.2</v>
      </c>
      <c r="O16" s="394">
        <v>-20.940393956191471</v>
      </c>
      <c r="P16" s="395">
        <v>98.6</v>
      </c>
    </row>
    <row r="17" spans="1:16" ht="15" customHeight="1">
      <c r="A17" s="158" t="s">
        <v>208</v>
      </c>
      <c r="B17" s="391">
        <v>12.5</v>
      </c>
      <c r="C17" s="391">
        <v>7.0000000000000009</v>
      </c>
      <c r="D17" s="391">
        <v>1.1000000000000001</v>
      </c>
      <c r="E17" s="391">
        <v>76.3</v>
      </c>
      <c r="F17" s="391">
        <v>131.5</v>
      </c>
      <c r="G17" s="391">
        <v>91.2</v>
      </c>
      <c r="H17" s="160">
        <v>1161</v>
      </c>
      <c r="I17" s="160">
        <v>3249</v>
      </c>
      <c r="J17" s="160">
        <v>1186</v>
      </c>
      <c r="K17" s="396">
        <v>14.400000000000002</v>
      </c>
      <c r="L17" s="160">
        <v>1982222</v>
      </c>
      <c r="M17" s="234">
        <v>4</v>
      </c>
      <c r="N17" s="393">
        <v>3.8</v>
      </c>
      <c r="O17" s="394">
        <v>-8.2589260587947635</v>
      </c>
      <c r="P17" s="395">
        <v>98.1</v>
      </c>
    </row>
    <row r="18" spans="1:16" ht="15" customHeight="1">
      <c r="A18" s="158" t="s">
        <v>8</v>
      </c>
      <c r="B18" s="391">
        <v>16</v>
      </c>
      <c r="C18" s="391">
        <v>10.4</v>
      </c>
      <c r="D18" s="391">
        <v>-16.3</v>
      </c>
      <c r="E18" s="391">
        <v>119</v>
      </c>
      <c r="F18" s="391">
        <v>43.9</v>
      </c>
      <c r="G18" s="391">
        <v>90.3</v>
      </c>
      <c r="H18" s="160">
        <v>1132</v>
      </c>
      <c r="I18" s="160">
        <v>2798</v>
      </c>
      <c r="J18" s="160">
        <v>272</v>
      </c>
      <c r="K18" s="396">
        <v>27.6</v>
      </c>
      <c r="L18" s="160">
        <v>226119</v>
      </c>
      <c r="M18" s="234">
        <v>3.5000000000000004</v>
      </c>
      <c r="N18" s="393">
        <v>3</v>
      </c>
      <c r="O18" s="394">
        <v>-10.32494359489375</v>
      </c>
      <c r="P18" s="395">
        <v>95</v>
      </c>
    </row>
    <row r="19" spans="1:16" ht="15" customHeight="1">
      <c r="A19" s="158" t="s">
        <v>209</v>
      </c>
      <c r="B19" s="391">
        <v>5.3</v>
      </c>
      <c r="C19" s="391">
        <v>9.1999999999999993</v>
      </c>
      <c r="D19" s="391">
        <v>-6.1</v>
      </c>
      <c r="E19" s="391">
        <v>132.5</v>
      </c>
      <c r="F19" s="391">
        <v>102.60000000000001</v>
      </c>
      <c r="G19" s="391">
        <v>114.4</v>
      </c>
      <c r="H19" s="160">
        <v>2574</v>
      </c>
      <c r="I19" s="160">
        <v>2817</v>
      </c>
      <c r="J19" s="160">
        <v>433</v>
      </c>
      <c r="K19" s="396">
        <v>15.2</v>
      </c>
      <c r="L19" s="160">
        <v>484695</v>
      </c>
      <c r="M19" s="234">
        <v>2.6</v>
      </c>
      <c r="N19" s="393">
        <v>2.5</v>
      </c>
      <c r="O19" s="394">
        <v>-13.301453800338777</v>
      </c>
      <c r="P19" s="395">
        <v>95.1</v>
      </c>
    </row>
    <row r="20" spans="1:16" ht="15" customHeight="1">
      <c r="A20" s="158" t="s">
        <v>10</v>
      </c>
      <c r="B20" s="391">
        <v>5</v>
      </c>
      <c r="C20" s="391">
        <v>8</v>
      </c>
      <c r="D20" s="391">
        <v>-5.0999999999999996</v>
      </c>
      <c r="E20" s="391">
        <v>119.8</v>
      </c>
      <c r="F20" s="391">
        <v>111.1</v>
      </c>
      <c r="G20" s="391">
        <v>118.8</v>
      </c>
      <c r="H20" s="160">
        <v>3151</v>
      </c>
      <c r="I20" s="160">
        <v>2857</v>
      </c>
      <c r="J20" s="160">
        <v>74</v>
      </c>
      <c r="K20" s="396">
        <v>16.3</v>
      </c>
      <c r="L20" s="160">
        <v>307362</v>
      </c>
      <c r="M20" s="234">
        <v>2.5</v>
      </c>
      <c r="N20" s="393">
        <v>2.2999999999999998</v>
      </c>
      <c r="O20" s="394">
        <v>-17.228199032113665</v>
      </c>
      <c r="P20" s="395">
        <v>97.7</v>
      </c>
    </row>
    <row r="21" spans="1:16" ht="15" customHeight="1">
      <c r="A21" s="158" t="s">
        <v>11</v>
      </c>
      <c r="B21" s="391">
        <v>8.3000000000000007</v>
      </c>
      <c r="C21" s="391">
        <v>7.8</v>
      </c>
      <c r="D21" s="391">
        <v>-1</v>
      </c>
      <c r="E21" s="391">
        <v>59.699999999999996</v>
      </c>
      <c r="F21" s="391">
        <v>89.4</v>
      </c>
      <c r="G21" s="391">
        <v>64.099999999999994</v>
      </c>
      <c r="H21" s="160">
        <v>2299</v>
      </c>
      <c r="I21" s="160">
        <v>2847</v>
      </c>
      <c r="J21" s="160">
        <v>127</v>
      </c>
      <c r="K21" s="396">
        <v>29.7</v>
      </c>
      <c r="L21" s="160">
        <v>507025</v>
      </c>
      <c r="M21" s="234">
        <v>3.3000000000000003</v>
      </c>
      <c r="N21" s="393">
        <v>3.1</v>
      </c>
      <c r="O21" s="394">
        <v>-23.716143624273499</v>
      </c>
      <c r="P21" s="395">
        <v>95.9</v>
      </c>
    </row>
    <row r="22" spans="1:16" ht="15" customHeight="1">
      <c r="A22" s="158" t="s">
        <v>210</v>
      </c>
      <c r="B22" s="391">
        <v>7.4000000000000012</v>
      </c>
      <c r="C22" s="391">
        <v>7.9</v>
      </c>
      <c r="D22" s="391">
        <v>-3.1</v>
      </c>
      <c r="E22" s="391">
        <v>138.30000000000001</v>
      </c>
      <c r="F22" s="391">
        <v>86.1</v>
      </c>
      <c r="G22" s="391">
        <v>129.6</v>
      </c>
      <c r="H22" s="160">
        <v>1444</v>
      </c>
      <c r="I22" s="160">
        <v>2139</v>
      </c>
      <c r="J22" s="160">
        <v>749</v>
      </c>
      <c r="K22" s="396">
        <v>17</v>
      </c>
      <c r="L22" s="160">
        <v>675505</v>
      </c>
      <c r="M22" s="234">
        <v>3</v>
      </c>
      <c r="N22" s="393">
        <v>2.8</v>
      </c>
      <c r="O22" s="394">
        <v>-15.515379138537652</v>
      </c>
      <c r="P22" s="395">
        <v>98.2</v>
      </c>
    </row>
    <row r="23" spans="1:16" ht="15" customHeight="1">
      <c r="A23" s="158" t="s">
        <v>211</v>
      </c>
      <c r="B23" s="391">
        <v>7.9</v>
      </c>
      <c r="C23" s="391">
        <v>8.3000000000000007</v>
      </c>
      <c r="D23" s="391">
        <v>-1.8000000000000003</v>
      </c>
      <c r="E23" s="391">
        <v>55.500000000000007</v>
      </c>
      <c r="F23" s="391">
        <v>84.3</v>
      </c>
      <c r="G23" s="391">
        <v>74.3</v>
      </c>
      <c r="H23" s="160">
        <v>4466</v>
      </c>
      <c r="I23" s="160">
        <v>4399</v>
      </c>
      <c r="J23" s="160">
        <v>624</v>
      </c>
      <c r="K23" s="396">
        <v>19.399999999999999</v>
      </c>
      <c r="L23" s="160">
        <v>589407</v>
      </c>
      <c r="M23" s="234">
        <v>1.4</v>
      </c>
      <c r="N23" s="393">
        <v>1.3</v>
      </c>
      <c r="O23" s="394">
        <v>-6.4819383590291881</v>
      </c>
      <c r="P23" s="395">
        <v>97.4</v>
      </c>
    </row>
    <row r="24" spans="1:16" ht="15" customHeight="1">
      <c r="A24" s="158" t="s">
        <v>27</v>
      </c>
      <c r="B24" s="391">
        <v>6.9</v>
      </c>
      <c r="C24" s="391">
        <v>7.8</v>
      </c>
      <c r="D24" s="391">
        <v>-1.9</v>
      </c>
      <c r="E24" s="391">
        <v>79.3</v>
      </c>
      <c r="F24" s="391">
        <v>80</v>
      </c>
      <c r="G24" s="391">
        <v>79.5</v>
      </c>
      <c r="H24" s="160">
        <v>3821</v>
      </c>
      <c r="I24" s="160">
        <v>4977</v>
      </c>
      <c r="J24" s="160">
        <v>251</v>
      </c>
      <c r="K24" s="396">
        <v>20.3</v>
      </c>
      <c r="L24" s="160">
        <v>722605</v>
      </c>
      <c r="M24" s="234">
        <v>4.7</v>
      </c>
      <c r="N24" s="393">
        <v>4.2</v>
      </c>
      <c r="O24" s="394">
        <v>-8.1148006931238346</v>
      </c>
      <c r="P24" s="395">
        <v>97.5</v>
      </c>
    </row>
    <row r="25" spans="1:16" ht="15" customHeight="1">
      <c r="A25" s="162" t="s">
        <v>23</v>
      </c>
      <c r="B25" s="391">
        <v>8.6</v>
      </c>
      <c r="C25" s="391">
        <v>7.8</v>
      </c>
      <c r="D25" s="391">
        <v>-1.7000000000000002</v>
      </c>
      <c r="E25" s="391">
        <v>102.60000000000001</v>
      </c>
      <c r="F25" s="391">
        <v>136.19999999999999</v>
      </c>
      <c r="G25" s="391">
        <v>108.2</v>
      </c>
      <c r="H25" s="160">
        <v>2850</v>
      </c>
      <c r="I25" s="160">
        <v>2828</v>
      </c>
      <c r="J25" s="160">
        <v>313</v>
      </c>
      <c r="K25" s="396">
        <v>21.3</v>
      </c>
      <c r="L25" s="160">
        <v>1302882</v>
      </c>
      <c r="M25" s="234">
        <v>3</v>
      </c>
      <c r="N25" s="393">
        <v>2.8</v>
      </c>
      <c r="O25" s="394">
        <v>-15.415709045231431</v>
      </c>
      <c r="P25" s="395">
        <v>97</v>
      </c>
    </row>
    <row r="26" spans="1:16" ht="15" customHeight="1">
      <c r="A26" s="158" t="s">
        <v>212</v>
      </c>
      <c r="B26" s="391">
        <v>2.8</v>
      </c>
      <c r="C26" s="391">
        <v>10.5</v>
      </c>
      <c r="D26" s="391">
        <v>-7.3</v>
      </c>
      <c r="E26" s="391">
        <v>83.2</v>
      </c>
      <c r="F26" s="391">
        <v>123.9</v>
      </c>
      <c r="G26" s="391">
        <v>95.5</v>
      </c>
      <c r="H26" s="160">
        <v>2634</v>
      </c>
      <c r="I26" s="160">
        <v>3265</v>
      </c>
      <c r="J26" s="160">
        <v>104</v>
      </c>
      <c r="K26" s="396">
        <v>22.8</v>
      </c>
      <c r="L26" s="160">
        <v>36975</v>
      </c>
      <c r="M26" s="234">
        <v>2.6</v>
      </c>
      <c r="N26" s="393">
        <v>2.4</v>
      </c>
      <c r="O26" s="394">
        <v>-11.906291780340633</v>
      </c>
      <c r="P26" s="395">
        <v>96.2</v>
      </c>
    </row>
    <row r="27" spans="1:16" ht="15" customHeight="1">
      <c r="A27" s="158" t="s">
        <v>213</v>
      </c>
      <c r="B27" s="391">
        <v>26</v>
      </c>
      <c r="C27" s="391">
        <v>8.6999999999999993</v>
      </c>
      <c r="D27" s="391">
        <v>2.9</v>
      </c>
      <c r="E27" s="391">
        <v>128.69999999999999</v>
      </c>
      <c r="F27" s="391">
        <v>76.099999999999994</v>
      </c>
      <c r="G27" s="391">
        <v>98.6</v>
      </c>
      <c r="H27" s="160">
        <v>704</v>
      </c>
      <c r="I27" s="160">
        <v>1545</v>
      </c>
      <c r="J27" s="160">
        <v>3130</v>
      </c>
      <c r="K27" s="396">
        <v>9.3000000000000007</v>
      </c>
      <c r="L27" s="160">
        <v>121057</v>
      </c>
      <c r="M27" s="234">
        <v>3.8</v>
      </c>
      <c r="N27" s="393">
        <v>3.5000000000000004</v>
      </c>
      <c r="O27" s="394">
        <v>0.56751348029399229</v>
      </c>
      <c r="P27" s="395">
        <v>97.5</v>
      </c>
    </row>
    <row r="28" spans="1:16" ht="15" customHeight="1">
      <c r="A28" s="158" t="s">
        <v>214</v>
      </c>
      <c r="B28" s="391">
        <v>55.899999999999991</v>
      </c>
      <c r="C28" s="391">
        <v>12</v>
      </c>
      <c r="D28" s="391">
        <v>21.3</v>
      </c>
      <c r="E28" s="391">
        <v>843.70000000000016</v>
      </c>
      <c r="F28" s="391">
        <v>26.3</v>
      </c>
      <c r="G28" s="391">
        <v>55.7</v>
      </c>
      <c r="H28" s="160">
        <v>4277</v>
      </c>
      <c r="I28" s="160">
        <v>4191</v>
      </c>
      <c r="J28" s="160">
        <v>3247</v>
      </c>
      <c r="K28" s="396">
        <v>8.4</v>
      </c>
      <c r="L28" s="160">
        <v>70240</v>
      </c>
      <c r="M28" s="234">
        <v>1.9</v>
      </c>
      <c r="N28" s="393">
        <v>1.8000000000000003</v>
      </c>
      <c r="O28" s="394">
        <v>18.686137135517352</v>
      </c>
      <c r="P28" s="395">
        <v>97.3</v>
      </c>
    </row>
    <row r="29" spans="1:16" ht="15" customHeight="1">
      <c r="A29" s="158" t="s">
        <v>215</v>
      </c>
      <c r="B29" s="391">
        <v>21.7</v>
      </c>
      <c r="C29" s="391">
        <v>9.1999999999999993</v>
      </c>
      <c r="D29" s="391">
        <v>-1.6</v>
      </c>
      <c r="E29" s="391">
        <v>94.9</v>
      </c>
      <c r="F29" s="391">
        <v>79.3</v>
      </c>
      <c r="G29" s="391">
        <v>86.2</v>
      </c>
      <c r="H29" s="160">
        <v>546</v>
      </c>
      <c r="I29" s="160">
        <v>1416</v>
      </c>
      <c r="J29" s="160">
        <v>1651</v>
      </c>
      <c r="K29" s="396">
        <v>5.6</v>
      </c>
      <c r="L29" s="160">
        <v>186984</v>
      </c>
      <c r="M29" s="234">
        <v>3.2</v>
      </c>
      <c r="N29" s="393">
        <v>3.1</v>
      </c>
      <c r="O29" s="394">
        <v>-5.8442538464393898</v>
      </c>
      <c r="P29" s="395">
        <v>96.2</v>
      </c>
    </row>
    <row r="30" spans="1:16" ht="15" customHeight="1">
      <c r="A30" s="158" t="s">
        <v>216</v>
      </c>
      <c r="B30" s="391">
        <v>8.6999999999999993</v>
      </c>
      <c r="C30" s="391">
        <v>9.1</v>
      </c>
      <c r="D30" s="391">
        <v>-2.2000000000000002</v>
      </c>
      <c r="E30" s="391">
        <v>46.1</v>
      </c>
      <c r="F30" s="391">
        <v>109.3</v>
      </c>
      <c r="G30" s="391">
        <v>49.5</v>
      </c>
      <c r="H30" s="160">
        <v>1262</v>
      </c>
      <c r="I30" s="160">
        <v>1885</v>
      </c>
      <c r="J30" s="160">
        <v>32</v>
      </c>
      <c r="K30" s="396">
        <v>29.100000000000005</v>
      </c>
      <c r="L30" s="160">
        <v>823864</v>
      </c>
      <c r="M30" s="234">
        <v>1.6</v>
      </c>
      <c r="N30" s="393">
        <v>1.5</v>
      </c>
      <c r="O30" s="394">
        <v>-0.18084082987265471</v>
      </c>
      <c r="P30" s="395">
        <v>93.3</v>
      </c>
    </row>
    <row r="31" spans="1:16" ht="15" customHeight="1">
      <c r="A31" s="158" t="s">
        <v>19</v>
      </c>
      <c r="B31" s="391">
        <v>16.100000000000001</v>
      </c>
      <c r="C31" s="391">
        <v>8.9</v>
      </c>
      <c r="D31" s="391">
        <v>3.4000000000000004</v>
      </c>
      <c r="E31" s="391">
        <v>75.5</v>
      </c>
      <c r="F31" s="391">
        <v>44.6</v>
      </c>
      <c r="G31" s="391">
        <v>67.099999999999994</v>
      </c>
      <c r="H31" s="160">
        <v>4867</v>
      </c>
      <c r="I31" s="160">
        <v>2737</v>
      </c>
      <c r="J31" s="160">
        <v>304</v>
      </c>
      <c r="K31" s="396">
        <v>21.1</v>
      </c>
      <c r="L31" s="160">
        <v>470784</v>
      </c>
      <c r="M31" s="234">
        <v>2.8</v>
      </c>
      <c r="N31" s="393">
        <v>2.5</v>
      </c>
      <c r="O31" s="394">
        <v>-7.9168240782196566</v>
      </c>
      <c r="P31" s="395">
        <v>98.1</v>
      </c>
    </row>
    <row r="32" spans="1:16" ht="15" customHeight="1">
      <c r="A32" s="158" t="s">
        <v>20</v>
      </c>
      <c r="B32" s="391">
        <v>8.6</v>
      </c>
      <c r="C32" s="391">
        <v>11.3</v>
      </c>
      <c r="D32" s="391">
        <v>0.1</v>
      </c>
      <c r="E32" s="391">
        <v>116.8</v>
      </c>
      <c r="F32" s="391">
        <v>86.7</v>
      </c>
      <c r="G32" s="391">
        <v>101.9</v>
      </c>
      <c r="H32" s="160">
        <v>5354</v>
      </c>
      <c r="I32" s="160">
        <v>3388</v>
      </c>
      <c r="J32" s="160">
        <v>577</v>
      </c>
      <c r="K32" s="396">
        <v>4.7</v>
      </c>
      <c r="L32" s="160">
        <v>77104</v>
      </c>
      <c r="M32" s="234">
        <v>3.4000000000000004</v>
      </c>
      <c r="N32" s="393">
        <v>3.3000000000000003</v>
      </c>
      <c r="O32" s="394">
        <v>-2.2564372853916432</v>
      </c>
      <c r="P32" s="395">
        <v>98.2</v>
      </c>
    </row>
    <row r="33" spans="1:23" ht="15" customHeight="1">
      <c r="A33" s="158" t="s">
        <v>217</v>
      </c>
      <c r="B33" s="391">
        <v>12.4</v>
      </c>
      <c r="C33" s="391">
        <v>7.0000000000000009</v>
      </c>
      <c r="D33" s="391">
        <v>-4.8</v>
      </c>
      <c r="E33" s="391">
        <v>186.8</v>
      </c>
      <c r="F33" s="391">
        <v>132.5</v>
      </c>
      <c r="G33" s="391">
        <v>181.2</v>
      </c>
      <c r="H33" s="160">
        <v>1229</v>
      </c>
      <c r="I33" s="160">
        <v>2202</v>
      </c>
      <c r="J33" s="160">
        <v>622</v>
      </c>
      <c r="K33" s="396">
        <v>13.5</v>
      </c>
      <c r="L33" s="160">
        <v>628394</v>
      </c>
      <c r="M33" s="234">
        <v>2.8</v>
      </c>
      <c r="N33" s="393">
        <v>2.5</v>
      </c>
      <c r="O33" s="394">
        <v>-11.242130143557238</v>
      </c>
      <c r="P33" s="395">
        <v>97.9</v>
      </c>
    </row>
    <row r="34" spans="1:23" ht="15" customHeight="1">
      <c r="A34" s="158" t="s">
        <v>218</v>
      </c>
      <c r="B34" s="391">
        <v>14.400000000000002</v>
      </c>
      <c r="C34" s="391">
        <v>5.2</v>
      </c>
      <c r="D34" s="391">
        <v>3.2</v>
      </c>
      <c r="E34" s="391">
        <v>58.3</v>
      </c>
      <c r="F34" s="391">
        <v>27.6</v>
      </c>
      <c r="G34" s="391">
        <v>53.29999999999999</v>
      </c>
      <c r="H34" s="160">
        <v>5334</v>
      </c>
      <c r="I34" s="160">
        <v>3994</v>
      </c>
      <c r="J34" s="160">
        <v>1298</v>
      </c>
      <c r="K34" s="396">
        <v>12.2</v>
      </c>
      <c r="L34" s="160">
        <v>24725</v>
      </c>
      <c r="M34" s="234">
        <v>2.2999999999999998</v>
      </c>
      <c r="N34" s="393">
        <v>2.2000000000000002</v>
      </c>
      <c r="O34" s="394">
        <v>4.7707161598964154</v>
      </c>
      <c r="P34" s="395">
        <v>97.1</v>
      </c>
    </row>
    <row r="35" spans="1:23" ht="15" customHeight="1">
      <c r="A35" s="158"/>
      <c r="B35" s="397"/>
      <c r="C35" s="397"/>
      <c r="D35" s="397"/>
      <c r="E35" s="397"/>
      <c r="F35" s="397"/>
      <c r="G35" s="397"/>
      <c r="H35" s="163"/>
      <c r="I35" s="163"/>
      <c r="J35" s="163"/>
      <c r="K35" s="398"/>
      <c r="L35" s="163"/>
      <c r="M35" s="234"/>
      <c r="N35" s="398"/>
      <c r="O35" s="394"/>
      <c r="P35" s="399"/>
    </row>
    <row r="36" spans="1:23" s="76" customFormat="1" ht="15" customHeight="1">
      <c r="A36" s="165" t="s">
        <v>30</v>
      </c>
      <c r="B36" s="400">
        <v>9.1</v>
      </c>
      <c r="C36" s="400">
        <v>7.4000000000000012</v>
      </c>
      <c r="D36" s="400">
        <v>-2</v>
      </c>
      <c r="E36" s="400">
        <v>107.2</v>
      </c>
      <c r="F36" s="400">
        <v>109.79999999999998</v>
      </c>
      <c r="G36" s="400">
        <v>108</v>
      </c>
      <c r="H36" s="166">
        <v>1585</v>
      </c>
      <c r="I36" s="166">
        <v>2807</v>
      </c>
      <c r="J36" s="166">
        <v>711</v>
      </c>
      <c r="K36" s="401">
        <v>17.899999999999999</v>
      </c>
      <c r="L36" s="166">
        <v>16702976</v>
      </c>
      <c r="M36" s="401">
        <v>3.3000000000000003</v>
      </c>
      <c r="N36" s="401">
        <v>3.2</v>
      </c>
      <c r="O36" s="402">
        <v>-9.6314448081021649</v>
      </c>
      <c r="P36" s="403">
        <v>97.8</v>
      </c>
    </row>
    <row r="37" spans="1:23" s="76" customFormat="1" ht="15" customHeight="1">
      <c r="A37" s="165"/>
      <c r="B37" s="400"/>
      <c r="C37" s="400"/>
      <c r="D37" s="400"/>
      <c r="E37" s="400"/>
      <c r="F37" s="400"/>
      <c r="G37" s="400"/>
      <c r="H37" s="166"/>
      <c r="I37" s="166"/>
      <c r="J37" s="166"/>
      <c r="K37" s="401"/>
      <c r="L37" s="166"/>
      <c r="M37" s="401"/>
      <c r="N37" s="401"/>
      <c r="O37" s="402"/>
      <c r="P37" s="403"/>
    </row>
    <row r="38" spans="1:23" s="76" customFormat="1" ht="15" customHeight="1">
      <c r="A38" s="443" t="str">
        <f>'I-2'!A37</f>
        <v>2023.10</v>
      </c>
      <c r="B38" s="447">
        <v>8.4</v>
      </c>
      <c r="C38" s="447">
        <v>6.8000000000000007</v>
      </c>
      <c r="D38" s="447">
        <v>-1.8000000000000003</v>
      </c>
      <c r="E38" s="447">
        <v>108.80000000000001</v>
      </c>
      <c r="F38" s="447">
        <v>111.20000000000002</v>
      </c>
      <c r="G38" s="447">
        <v>109.5</v>
      </c>
      <c r="H38" s="444">
        <v>1573</v>
      </c>
      <c r="I38" s="444">
        <v>2810</v>
      </c>
      <c r="J38" s="444">
        <v>679</v>
      </c>
      <c r="K38" s="448">
        <v>18.100000000000001</v>
      </c>
      <c r="L38" s="444">
        <v>15230531</v>
      </c>
      <c r="M38" s="448">
        <v>3.3000000000000003</v>
      </c>
      <c r="N38" s="448">
        <v>3.2</v>
      </c>
      <c r="O38" s="449">
        <v>-12.684213056953226</v>
      </c>
      <c r="P38" s="450">
        <v>98</v>
      </c>
    </row>
    <row r="39" spans="1:23" ht="15" customHeight="1">
      <c r="A39" s="443" t="str">
        <f>'I-2'!A38</f>
        <v>2023.9</v>
      </c>
      <c r="B39" s="447">
        <v>7.7</v>
      </c>
      <c r="C39" s="447">
        <v>6.2</v>
      </c>
      <c r="D39" s="447">
        <v>-1.6</v>
      </c>
      <c r="E39" s="447">
        <v>110.1</v>
      </c>
      <c r="F39" s="447">
        <v>112.3</v>
      </c>
      <c r="G39" s="447">
        <v>110.79999999999998</v>
      </c>
      <c r="H39" s="444">
        <v>1566</v>
      </c>
      <c r="I39" s="444">
        <v>2814</v>
      </c>
      <c r="J39" s="444">
        <v>675</v>
      </c>
      <c r="K39" s="448">
        <v>18</v>
      </c>
      <c r="L39" s="444">
        <v>13797753</v>
      </c>
      <c r="M39" s="448">
        <v>3.3000000000000003</v>
      </c>
      <c r="N39" s="448">
        <v>3.2</v>
      </c>
      <c r="O39" s="449">
        <v>-11.4</v>
      </c>
      <c r="P39" s="450">
        <v>98.1</v>
      </c>
    </row>
    <row r="40" spans="1:23" s="76" customFormat="1" ht="15" customHeight="1">
      <c r="A40" s="443" t="str">
        <f>'I-2'!A39</f>
        <v>2023.8</v>
      </c>
      <c r="B40" s="447">
        <v>7.0000000000000009</v>
      </c>
      <c r="C40" s="447">
        <v>5.7</v>
      </c>
      <c r="D40" s="447">
        <v>-1.4</v>
      </c>
      <c r="E40" s="447">
        <v>112.6</v>
      </c>
      <c r="F40" s="447">
        <v>114.3</v>
      </c>
      <c r="G40" s="447">
        <v>113.1</v>
      </c>
      <c r="H40" s="444">
        <v>1585</v>
      </c>
      <c r="I40" s="444">
        <v>2811</v>
      </c>
      <c r="J40" s="444">
        <v>665</v>
      </c>
      <c r="K40" s="448">
        <v>17.899999999999999</v>
      </c>
      <c r="L40" s="444">
        <v>12290743</v>
      </c>
      <c r="M40" s="448">
        <v>3.4000000000000004</v>
      </c>
      <c r="N40" s="448">
        <v>3.3000000000000003</v>
      </c>
      <c r="O40" s="449">
        <v>-10.5</v>
      </c>
      <c r="P40" s="450">
        <v>98</v>
      </c>
    </row>
    <row r="41" spans="1:23" ht="15" customHeight="1" thickBot="1">
      <c r="A41" s="168"/>
      <c r="B41" s="169"/>
      <c r="C41" s="169"/>
      <c r="D41" s="169"/>
      <c r="E41" s="170"/>
      <c r="F41" s="170"/>
      <c r="G41" s="170"/>
      <c r="H41" s="169"/>
      <c r="I41" s="169"/>
      <c r="J41" s="169"/>
      <c r="K41" s="169"/>
      <c r="L41" s="169"/>
      <c r="M41" s="170"/>
      <c r="N41" s="169"/>
      <c r="O41" s="170"/>
      <c r="P41" s="172"/>
      <c r="Q41" s="185"/>
      <c r="R41" s="97"/>
    </row>
    <row r="42" spans="1:23" ht="15" customHeight="1">
      <c r="A42" s="8"/>
      <c r="B42" s="174"/>
      <c r="C42" s="174"/>
      <c r="D42" s="8"/>
      <c r="E42" s="18"/>
      <c r="F42" s="18"/>
      <c r="G42" s="18"/>
      <c r="H42" s="174"/>
      <c r="I42" s="174"/>
      <c r="J42" s="174"/>
      <c r="K42" s="174"/>
      <c r="L42" s="174"/>
      <c r="M42" s="18"/>
      <c r="N42" s="174"/>
      <c r="O42" s="18"/>
      <c r="P42" s="174"/>
      <c r="R42" s="32"/>
      <c r="S42" s="29"/>
      <c r="T42" s="29"/>
      <c r="U42" s="29"/>
      <c r="V42" s="29"/>
      <c r="W42" s="6"/>
    </row>
    <row r="43" spans="1:23" ht="15" customHeight="1">
      <c r="A43" s="176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R43" s="32"/>
      <c r="S43" s="32"/>
      <c r="T43" s="32"/>
      <c r="U43" s="32"/>
      <c r="V43" s="32"/>
      <c r="W43" s="32"/>
    </row>
    <row r="44" spans="1:23" ht="1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23" ht="12.9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76" spans="2:16" ht="12.95" customHeight="1"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</row>
    <row r="77" spans="2:16" ht="12.95" customHeight="1"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</row>
    <row r="78" spans="2:16" ht="12.95" customHeight="1"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</row>
    <row r="79" spans="2:16" ht="12.95" customHeight="1"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</row>
    <row r="80" spans="2:16" ht="12.95" customHeight="1"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</row>
    <row r="81" spans="2:16" ht="12.95" customHeight="1"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</row>
    <row r="82" spans="2:16" ht="12.95" customHeight="1"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</row>
    <row r="83" spans="2:16" ht="12.95" customHeight="1"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</row>
    <row r="84" spans="2:16" ht="12.95" customHeight="1"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</row>
    <row r="85" spans="2:16" ht="12.95" customHeight="1"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</row>
    <row r="86" spans="2:16" ht="12.95" customHeight="1"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</row>
    <row r="87" spans="2:16" ht="12.95" customHeight="1"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</row>
    <row r="88" spans="2:16" ht="12.95" customHeight="1"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</row>
    <row r="89" spans="2:16" ht="12.95" customHeight="1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</row>
    <row r="90" spans="2:16" ht="12.95" customHeight="1"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</row>
    <row r="91" spans="2:16" ht="12.95" customHeight="1"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</row>
    <row r="92" spans="2:16" ht="12.95" customHeight="1"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</row>
    <row r="93" spans="2:16" ht="12.95" customHeight="1"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</row>
    <row r="94" spans="2:16" ht="12.95" customHeight="1"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</row>
    <row r="95" spans="2:16" ht="12.95" customHeight="1"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</row>
    <row r="96" spans="2:16" ht="12.95" customHeight="1"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</row>
    <row r="97" spans="2:16" ht="12.95" customHeight="1"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</row>
    <row r="98" spans="2:16" ht="12.95" customHeight="1"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</row>
    <row r="99" spans="2:16" ht="12.95" customHeight="1"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</row>
    <row r="100" spans="2:16" ht="12.95" customHeight="1"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</row>
    <row r="101" spans="2:16" ht="12.95" customHeight="1"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</row>
    <row r="102" spans="2:16" ht="12.95" customHeight="1"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</row>
    <row r="103" spans="2:16" ht="12.95" customHeight="1"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</row>
    <row r="104" spans="2:16" ht="12.95" customHeight="1"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</row>
    <row r="105" spans="2:16" ht="12.95" customHeight="1"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</row>
  </sheetData>
  <mergeCells count="15">
    <mergeCell ref="L8:L11"/>
    <mergeCell ref="K7:K11"/>
    <mergeCell ref="O7:O11"/>
    <mergeCell ref="P7:P11"/>
    <mergeCell ref="M7:M11"/>
    <mergeCell ref="N7:N11"/>
    <mergeCell ref="A7:A11"/>
    <mergeCell ref="B7:B11"/>
    <mergeCell ref="C7:C11"/>
    <mergeCell ref="D7:D11"/>
    <mergeCell ref="J7:J11"/>
    <mergeCell ref="H9:H11"/>
    <mergeCell ref="I9:I11"/>
    <mergeCell ref="E7:G10"/>
    <mergeCell ref="H7:I8"/>
  </mergeCells>
  <phoneticPr fontId="2" type="noConversion"/>
  <pageMargins left="0.49" right="0.26" top="0.51" bottom="0.49" header="0.23" footer="0.31"/>
  <pageSetup paperSize="9" scale="64" orientation="landscape" r:id="rId1"/>
  <headerFooter alignWithMargins="0"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15"/>
  <sheetViews>
    <sheetView zoomScaleNormal="100" workbookViewId="0">
      <pane xSplit="1" ySplit="12" topLeftCell="B25" activePane="bottomRight" state="frozen"/>
      <selection activeCell="P22" sqref="P22"/>
      <selection pane="topRight" activeCell="P22" sqref="P22"/>
      <selection pane="bottomLeft" activeCell="P22" sqref="P22"/>
      <selection pane="bottomRight" activeCell="B14" sqref="B14:AX41"/>
    </sheetView>
  </sheetViews>
  <sheetFormatPr defaultColWidth="7.77734375" defaultRowHeight="12.95" customHeight="1"/>
  <cols>
    <col min="1" max="1" width="14.77734375" style="55" customWidth="1"/>
    <col min="2" max="2" width="11.77734375" style="54" customWidth="1"/>
    <col min="3" max="3" width="4.77734375" style="51" customWidth="1"/>
    <col min="4" max="10" width="11.77734375" style="54" customWidth="1"/>
    <col min="11" max="11" width="4.77734375" style="51" customWidth="1"/>
    <col min="12" max="12" width="11.77734375" style="100" customWidth="1"/>
    <col min="13" max="13" width="4.77734375" style="99" customWidth="1"/>
    <col min="14" max="15" width="11.77734375" style="44" customWidth="1"/>
    <col min="16" max="16" width="11.77734375" style="53" customWidth="1"/>
    <col min="17" max="17" width="4.77734375" style="44" customWidth="1"/>
    <col min="18" max="20" width="11.77734375" style="54" customWidth="1"/>
    <col min="21" max="21" width="4.77734375" style="44" customWidth="1"/>
    <col min="22" max="27" width="11.77734375" style="54" customWidth="1"/>
    <col min="28" max="28" width="4.77734375" style="86" customWidth="1"/>
    <col min="29" max="29" width="11.77734375" style="54" customWidth="1"/>
    <col min="30" max="30" width="4.77734375" style="86" customWidth="1"/>
    <col min="31" max="31" width="11.77734375" style="54" customWidth="1"/>
    <col min="32" max="33" width="11.77734375" style="44" customWidth="1"/>
    <col min="34" max="34" width="11.77734375" style="51" customWidth="1"/>
    <col min="35" max="35" width="11.77734375" style="52" customWidth="1"/>
    <col min="36" max="36" width="11.77734375" style="44" customWidth="1"/>
    <col min="37" max="37" width="11.77734375" style="51" customWidth="1"/>
    <col min="38" max="50" width="11.77734375" style="44" customWidth="1"/>
    <col min="51" max="51" width="2.6640625" style="44" bestFit="1" customWidth="1"/>
    <col min="52" max="52" width="8" style="44" customWidth="1"/>
    <col min="53" max="61" width="8.77734375" style="44" customWidth="1"/>
    <col min="62" max="62" width="10.33203125" style="44" customWidth="1"/>
    <col min="63" max="63" width="6" style="32" customWidth="1"/>
    <col min="64" max="16384" width="7.77734375" style="32"/>
  </cols>
  <sheetData>
    <row r="1" spans="1:62" ht="15" customHeight="1">
      <c r="B1" s="44"/>
      <c r="D1" s="44"/>
      <c r="E1" s="44"/>
      <c r="F1" s="44"/>
      <c r="G1" s="44"/>
      <c r="H1" s="44"/>
      <c r="I1" s="44"/>
      <c r="J1" s="44"/>
      <c r="K1" s="107"/>
      <c r="L1" s="98"/>
      <c r="P1" s="44"/>
      <c r="Q1" s="51"/>
      <c r="R1" s="44"/>
      <c r="S1" s="44"/>
      <c r="T1" s="44"/>
      <c r="U1" s="51"/>
      <c r="V1" s="44"/>
      <c r="W1" s="44"/>
      <c r="X1" s="44"/>
      <c r="Y1" s="44"/>
      <c r="Z1" s="44"/>
      <c r="AA1" s="44"/>
      <c r="AB1" s="51"/>
      <c r="AC1" s="44"/>
      <c r="AD1" s="51"/>
      <c r="AE1" s="44"/>
      <c r="AH1" s="44"/>
      <c r="AI1" s="44"/>
      <c r="AK1" s="44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</row>
    <row r="2" spans="1:62" ht="15" customHeight="1">
      <c r="A2" s="19" t="s">
        <v>80</v>
      </c>
      <c r="B2" s="44"/>
      <c r="D2" s="44"/>
      <c r="E2" s="44"/>
      <c r="F2" s="44"/>
      <c r="G2" s="44"/>
      <c r="H2" s="44"/>
      <c r="I2" s="44"/>
      <c r="J2" s="44"/>
      <c r="K2" s="107"/>
      <c r="L2" s="113"/>
      <c r="M2" s="114"/>
      <c r="N2" s="106"/>
      <c r="O2" s="106"/>
      <c r="P2" s="106"/>
      <c r="Q2" s="107"/>
      <c r="R2" s="106"/>
      <c r="S2" s="106"/>
      <c r="T2" s="106"/>
      <c r="U2" s="106"/>
      <c r="W2" s="44"/>
      <c r="X2" s="44"/>
      <c r="Y2" s="44"/>
      <c r="Z2" s="44"/>
      <c r="AA2" s="44"/>
      <c r="AB2" s="51"/>
      <c r="AC2" s="44"/>
      <c r="AD2" s="51"/>
      <c r="AE2" s="44"/>
      <c r="AH2" s="44"/>
      <c r="AI2" s="44"/>
      <c r="AK2" s="44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</row>
    <row r="3" spans="1:62" s="45" customFormat="1" ht="15" customHeight="1">
      <c r="A3" s="19" t="s">
        <v>241</v>
      </c>
      <c r="B3" s="42"/>
      <c r="C3" s="41"/>
      <c r="D3" s="42"/>
      <c r="E3" s="42"/>
      <c r="F3" s="42"/>
      <c r="G3" s="42"/>
      <c r="H3" s="42"/>
      <c r="I3" s="42"/>
      <c r="J3" s="42"/>
      <c r="K3" s="108"/>
      <c r="L3" s="115"/>
      <c r="M3" s="116"/>
      <c r="N3" s="117"/>
      <c r="O3" s="117"/>
      <c r="P3" s="117"/>
      <c r="Q3" s="108"/>
      <c r="R3" s="117"/>
      <c r="S3" s="117"/>
      <c r="T3" s="117"/>
      <c r="U3" s="110"/>
      <c r="W3" s="42"/>
      <c r="X3" s="42"/>
      <c r="Y3" s="42"/>
      <c r="Z3" s="42"/>
      <c r="AA3" s="42"/>
      <c r="AB3" s="41"/>
      <c r="AC3" s="42"/>
      <c r="AD3" s="41"/>
      <c r="AE3" s="42"/>
      <c r="AF3" s="42"/>
      <c r="AG3" s="42"/>
      <c r="AH3" s="42"/>
      <c r="AI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</row>
    <row r="4" spans="1:62" s="45" customFormat="1" ht="15" customHeight="1">
      <c r="A4" s="9"/>
      <c r="B4" s="42"/>
      <c r="C4" s="41"/>
      <c r="D4" s="42"/>
      <c r="E4" s="42"/>
      <c r="F4" s="42"/>
      <c r="G4" s="42"/>
      <c r="H4" s="42"/>
      <c r="I4" s="42"/>
      <c r="J4" s="42"/>
      <c r="K4" s="108"/>
      <c r="L4" s="115"/>
      <c r="M4" s="116"/>
      <c r="N4" s="117"/>
      <c r="O4" s="117"/>
      <c r="P4" s="118"/>
      <c r="Q4" s="108"/>
      <c r="R4" s="117"/>
      <c r="S4" s="117"/>
      <c r="T4" s="117"/>
      <c r="U4" s="108"/>
      <c r="V4" s="42"/>
      <c r="W4" s="42"/>
      <c r="X4" s="42"/>
      <c r="Y4" s="42"/>
      <c r="Z4" s="42"/>
      <c r="AA4" s="42"/>
      <c r="AB4" s="41"/>
      <c r="AC4" s="42"/>
      <c r="AD4" s="41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</row>
    <row r="5" spans="1:62" s="49" customFormat="1" ht="15" customHeight="1">
      <c r="A5" s="46"/>
      <c r="B5" s="47"/>
      <c r="C5" s="48"/>
      <c r="D5" s="47"/>
      <c r="E5" s="47"/>
      <c r="F5" s="47"/>
      <c r="G5" s="47"/>
      <c r="H5" s="47"/>
      <c r="I5" s="47"/>
      <c r="J5" s="47"/>
      <c r="K5" s="109"/>
      <c r="L5" s="119"/>
      <c r="M5" s="120"/>
      <c r="N5" s="121"/>
      <c r="O5" s="121"/>
      <c r="P5" s="121"/>
      <c r="Q5" s="109"/>
      <c r="R5" s="121"/>
      <c r="S5" s="121"/>
      <c r="T5" s="121"/>
      <c r="U5" s="109"/>
      <c r="V5" s="47"/>
      <c r="W5" s="47"/>
      <c r="X5" s="47"/>
      <c r="Y5" s="47"/>
      <c r="Z5" s="47"/>
      <c r="AA5" s="47"/>
      <c r="AB5" s="48"/>
      <c r="AC5" s="47"/>
      <c r="AD5" s="48"/>
      <c r="AE5" s="47"/>
      <c r="AF5" s="122"/>
      <c r="AG5" s="121"/>
      <c r="AH5" s="121"/>
      <c r="AI5" s="121"/>
      <c r="AJ5" s="121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</row>
    <row r="6" spans="1:62" ht="15" customHeight="1" thickBot="1">
      <c r="A6" s="189" t="s">
        <v>302</v>
      </c>
      <c r="B6" s="177"/>
      <c r="C6" s="190"/>
      <c r="D6" s="191"/>
      <c r="E6" s="191"/>
      <c r="F6" s="191"/>
      <c r="G6" s="191"/>
      <c r="H6" s="191"/>
      <c r="I6" s="191"/>
      <c r="J6" s="191"/>
      <c r="K6" s="192"/>
      <c r="L6" s="193"/>
      <c r="M6" s="194"/>
      <c r="N6" s="191"/>
      <c r="O6" s="191"/>
      <c r="P6" s="191"/>
      <c r="Q6" s="195"/>
      <c r="R6" s="191"/>
      <c r="S6" s="191"/>
      <c r="T6" s="196"/>
      <c r="U6" s="197"/>
      <c r="V6" s="198"/>
      <c r="W6" s="198"/>
      <c r="X6" s="198"/>
      <c r="Y6" s="198"/>
      <c r="Z6" s="198"/>
      <c r="AA6" s="198"/>
      <c r="AB6" s="190"/>
      <c r="AC6" s="198"/>
      <c r="AD6" s="190"/>
      <c r="AE6" s="199"/>
      <c r="AF6" s="196"/>
      <c r="AG6" s="191"/>
      <c r="AH6" s="191"/>
      <c r="AI6" s="191"/>
      <c r="AJ6" s="200"/>
      <c r="AK6" s="198"/>
      <c r="AL6" s="191"/>
      <c r="AM6" s="198"/>
      <c r="AN6" s="198"/>
      <c r="AO6" s="198"/>
      <c r="AP6" s="191"/>
      <c r="AQ6" s="198"/>
      <c r="AR6" s="198"/>
      <c r="AS6" s="198"/>
      <c r="AT6" s="198"/>
      <c r="AU6" s="198"/>
      <c r="AV6" s="198"/>
      <c r="AW6" s="198"/>
      <c r="AX6" s="201" t="s">
        <v>81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</row>
    <row r="7" spans="1:62" ht="15" customHeight="1">
      <c r="A7" s="557"/>
      <c r="B7" s="202"/>
      <c r="C7" s="203"/>
      <c r="D7" s="506" t="s">
        <v>98</v>
      </c>
      <c r="E7" s="507"/>
      <c r="F7" s="507"/>
      <c r="G7" s="507"/>
      <c r="H7" s="507"/>
      <c r="I7" s="507"/>
      <c r="J7" s="507"/>
      <c r="K7" s="508"/>
      <c r="L7" s="204"/>
      <c r="M7" s="204"/>
      <c r="N7" s="507"/>
      <c r="O7" s="508"/>
      <c r="P7" s="204"/>
      <c r="Q7" s="204"/>
      <c r="R7" s="205"/>
      <c r="S7" s="205"/>
      <c r="T7" s="206"/>
      <c r="U7" s="207"/>
      <c r="V7" s="208" t="s">
        <v>99</v>
      </c>
      <c r="W7" s="205"/>
      <c r="X7" s="209"/>
      <c r="Y7" s="205"/>
      <c r="Z7" s="210"/>
      <c r="AA7" s="208"/>
      <c r="AB7" s="205"/>
      <c r="AC7" s="202"/>
      <c r="AD7" s="203"/>
      <c r="AE7" s="562" t="s">
        <v>52</v>
      </c>
      <c r="AF7" s="506" t="s">
        <v>108</v>
      </c>
      <c r="AG7" s="507"/>
      <c r="AH7" s="507"/>
      <c r="AI7" s="507"/>
      <c r="AJ7" s="507"/>
      <c r="AK7" s="507"/>
      <c r="AL7" s="507"/>
      <c r="AM7" s="507"/>
      <c r="AN7" s="507"/>
      <c r="AO7" s="507"/>
      <c r="AP7" s="508"/>
      <c r="AQ7" s="205" t="s">
        <v>119</v>
      </c>
      <c r="AR7" s="205"/>
      <c r="AS7" s="209"/>
      <c r="AT7" s="205"/>
      <c r="AU7" s="210"/>
      <c r="AV7" s="208"/>
      <c r="AW7" s="205"/>
      <c r="AX7" s="542" t="s">
        <v>121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ht="15" customHeight="1">
      <c r="A8" s="558"/>
      <c r="B8" s="540" t="s">
        <v>82</v>
      </c>
      <c r="C8" s="552"/>
      <c r="D8" s="543" t="s">
        <v>83</v>
      </c>
      <c r="E8" s="543" t="s">
        <v>84</v>
      </c>
      <c r="F8" s="543" t="s">
        <v>85</v>
      </c>
      <c r="G8" s="543" t="s">
        <v>86</v>
      </c>
      <c r="H8" s="543" t="s">
        <v>87</v>
      </c>
      <c r="I8" s="543" t="s">
        <v>88</v>
      </c>
      <c r="J8" s="257"/>
      <c r="K8" s="258"/>
      <c r="L8" s="540" t="s">
        <v>89</v>
      </c>
      <c r="M8" s="552"/>
      <c r="N8" s="543" t="s">
        <v>90</v>
      </c>
      <c r="O8" s="543" t="s">
        <v>91</v>
      </c>
      <c r="P8" s="540" t="s">
        <v>92</v>
      </c>
      <c r="Q8" s="552"/>
      <c r="R8" s="543" t="s">
        <v>93</v>
      </c>
      <c r="S8" s="543" t="s">
        <v>94</v>
      </c>
      <c r="T8" s="540" t="s">
        <v>54</v>
      </c>
      <c r="U8" s="552"/>
      <c r="V8" s="543" t="s">
        <v>95</v>
      </c>
      <c r="W8" s="543" t="s">
        <v>96</v>
      </c>
      <c r="X8" s="543" t="s">
        <v>97</v>
      </c>
      <c r="Y8" s="543" t="s">
        <v>100</v>
      </c>
      <c r="Z8" s="543" t="s">
        <v>88</v>
      </c>
      <c r="AA8" s="259"/>
      <c r="AB8" s="260"/>
      <c r="AC8" s="540" t="s">
        <v>101</v>
      </c>
      <c r="AD8" s="552"/>
      <c r="AE8" s="544"/>
      <c r="AF8" s="539" t="s">
        <v>102</v>
      </c>
      <c r="AG8" s="211"/>
      <c r="AH8" s="211"/>
      <c r="AI8" s="211"/>
      <c r="AJ8" s="211"/>
      <c r="AK8" s="549"/>
      <c r="AL8" s="550"/>
      <c r="AM8" s="543" t="s">
        <v>110</v>
      </c>
      <c r="AN8" s="543" t="s">
        <v>88</v>
      </c>
      <c r="AO8" s="543" t="s">
        <v>111</v>
      </c>
      <c r="AP8" s="543" t="s">
        <v>112</v>
      </c>
      <c r="AQ8" s="551" t="s">
        <v>113</v>
      </c>
      <c r="AR8" s="543" t="s">
        <v>114</v>
      </c>
      <c r="AS8" s="543" t="s">
        <v>115</v>
      </c>
      <c r="AT8" s="543" t="s">
        <v>116</v>
      </c>
      <c r="AU8" s="543" t="s">
        <v>117</v>
      </c>
      <c r="AV8" s="543" t="s">
        <v>118</v>
      </c>
      <c r="AW8" s="543" t="s">
        <v>120</v>
      </c>
      <c r="AX8" s="540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ht="15" customHeight="1">
      <c r="A9" s="558"/>
      <c r="B9" s="540"/>
      <c r="C9" s="552"/>
      <c r="D9" s="544"/>
      <c r="E9" s="544"/>
      <c r="F9" s="544"/>
      <c r="G9" s="544"/>
      <c r="H9" s="544"/>
      <c r="I9" s="544"/>
      <c r="J9" s="540" t="s">
        <v>30</v>
      </c>
      <c r="K9" s="552"/>
      <c r="L9" s="540"/>
      <c r="M9" s="552"/>
      <c r="N9" s="544"/>
      <c r="O9" s="560"/>
      <c r="P9" s="540"/>
      <c r="Q9" s="552"/>
      <c r="R9" s="560"/>
      <c r="S9" s="560"/>
      <c r="T9" s="540"/>
      <c r="U9" s="552"/>
      <c r="V9" s="560"/>
      <c r="W9" s="560"/>
      <c r="X9" s="560"/>
      <c r="Y9" s="544"/>
      <c r="Z9" s="544"/>
      <c r="AA9" s="563" t="s">
        <v>30</v>
      </c>
      <c r="AB9" s="564"/>
      <c r="AC9" s="540"/>
      <c r="AD9" s="552"/>
      <c r="AE9" s="544"/>
      <c r="AF9" s="540"/>
      <c r="AG9" s="543" t="s">
        <v>103</v>
      </c>
      <c r="AH9" s="554" t="s">
        <v>106</v>
      </c>
      <c r="AI9" s="555"/>
      <c r="AJ9" s="556"/>
      <c r="AK9" s="188" t="s">
        <v>107</v>
      </c>
      <c r="AL9" s="212"/>
      <c r="AM9" s="544"/>
      <c r="AN9" s="544"/>
      <c r="AO9" s="544"/>
      <c r="AP9" s="544"/>
      <c r="AQ9" s="552"/>
      <c r="AR9" s="544"/>
      <c r="AS9" s="544"/>
      <c r="AT9" s="544"/>
      <c r="AU9" s="544"/>
      <c r="AV9" s="544"/>
      <c r="AW9" s="544"/>
      <c r="AX9" s="540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ht="15" customHeight="1">
      <c r="A10" s="558"/>
      <c r="B10" s="540"/>
      <c r="C10" s="552"/>
      <c r="D10" s="544"/>
      <c r="E10" s="544"/>
      <c r="F10" s="544"/>
      <c r="G10" s="544"/>
      <c r="H10" s="544"/>
      <c r="I10" s="544"/>
      <c r="J10" s="540"/>
      <c r="K10" s="552"/>
      <c r="L10" s="540"/>
      <c r="M10" s="552"/>
      <c r="N10" s="544"/>
      <c r="O10" s="560"/>
      <c r="P10" s="540"/>
      <c r="Q10" s="552"/>
      <c r="R10" s="560"/>
      <c r="S10" s="560"/>
      <c r="T10" s="540"/>
      <c r="U10" s="552"/>
      <c r="V10" s="560"/>
      <c r="W10" s="560"/>
      <c r="X10" s="560"/>
      <c r="Y10" s="544"/>
      <c r="Z10" s="544"/>
      <c r="AA10" s="563"/>
      <c r="AB10" s="564"/>
      <c r="AC10" s="540"/>
      <c r="AD10" s="552"/>
      <c r="AE10" s="544"/>
      <c r="AF10" s="540"/>
      <c r="AG10" s="560"/>
      <c r="AH10" s="547" t="s">
        <v>104</v>
      </c>
      <c r="AI10" s="547" t="s">
        <v>105</v>
      </c>
      <c r="AJ10" s="547" t="s">
        <v>109</v>
      </c>
      <c r="AK10" s="546" t="s">
        <v>104</v>
      </c>
      <c r="AL10" s="547" t="s">
        <v>105</v>
      </c>
      <c r="AM10" s="544"/>
      <c r="AN10" s="544"/>
      <c r="AO10" s="544"/>
      <c r="AP10" s="544"/>
      <c r="AQ10" s="552"/>
      <c r="AR10" s="544"/>
      <c r="AS10" s="544"/>
      <c r="AT10" s="544"/>
      <c r="AU10" s="544"/>
      <c r="AV10" s="544"/>
      <c r="AW10" s="544"/>
      <c r="AX10" s="540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</row>
    <row r="11" spans="1:62" ht="15" customHeight="1">
      <c r="A11" s="558"/>
      <c r="B11" s="540"/>
      <c r="C11" s="552"/>
      <c r="D11" s="544"/>
      <c r="E11" s="544"/>
      <c r="F11" s="544"/>
      <c r="G11" s="544"/>
      <c r="H11" s="544"/>
      <c r="I11" s="544"/>
      <c r="J11" s="540"/>
      <c r="K11" s="552"/>
      <c r="L11" s="540"/>
      <c r="M11" s="552"/>
      <c r="N11" s="544"/>
      <c r="O11" s="560"/>
      <c r="P11" s="540"/>
      <c r="Q11" s="552"/>
      <c r="R11" s="560"/>
      <c r="S11" s="560"/>
      <c r="T11" s="540"/>
      <c r="U11" s="552"/>
      <c r="V11" s="560"/>
      <c r="W11" s="560"/>
      <c r="X11" s="560"/>
      <c r="Y11" s="544"/>
      <c r="Z11" s="544"/>
      <c r="AA11" s="563"/>
      <c r="AB11" s="564"/>
      <c r="AC11" s="540"/>
      <c r="AD11" s="552"/>
      <c r="AE11" s="544"/>
      <c r="AF11" s="540"/>
      <c r="AG11" s="560"/>
      <c r="AH11" s="547"/>
      <c r="AI11" s="547"/>
      <c r="AJ11" s="547"/>
      <c r="AK11" s="546"/>
      <c r="AL11" s="547"/>
      <c r="AM11" s="544"/>
      <c r="AN11" s="544"/>
      <c r="AO11" s="544"/>
      <c r="AP11" s="544"/>
      <c r="AQ11" s="552"/>
      <c r="AR11" s="544"/>
      <c r="AS11" s="544"/>
      <c r="AT11" s="544"/>
      <c r="AU11" s="544"/>
      <c r="AV11" s="544"/>
      <c r="AW11" s="544"/>
      <c r="AX11" s="540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</row>
    <row r="12" spans="1:62" ht="15" customHeight="1">
      <c r="A12" s="559"/>
      <c r="B12" s="213"/>
      <c r="C12" s="214" t="s">
        <v>1</v>
      </c>
      <c r="D12" s="545"/>
      <c r="E12" s="545"/>
      <c r="F12" s="545"/>
      <c r="G12" s="545"/>
      <c r="H12" s="545"/>
      <c r="I12" s="545"/>
      <c r="J12" s="215"/>
      <c r="K12" s="216" t="s">
        <v>1</v>
      </c>
      <c r="L12" s="217"/>
      <c r="M12" s="216" t="s">
        <v>1</v>
      </c>
      <c r="N12" s="545"/>
      <c r="O12" s="561"/>
      <c r="P12" s="213"/>
      <c r="Q12" s="218" t="s">
        <v>1</v>
      </c>
      <c r="R12" s="561"/>
      <c r="S12" s="561"/>
      <c r="T12" s="219"/>
      <c r="U12" s="216" t="s">
        <v>1</v>
      </c>
      <c r="V12" s="561"/>
      <c r="W12" s="561"/>
      <c r="X12" s="561"/>
      <c r="Y12" s="545"/>
      <c r="Z12" s="545"/>
      <c r="AA12" s="213"/>
      <c r="AB12" s="216" t="s">
        <v>1</v>
      </c>
      <c r="AC12" s="220"/>
      <c r="AD12" s="216" t="s">
        <v>1</v>
      </c>
      <c r="AE12" s="545"/>
      <c r="AF12" s="541"/>
      <c r="AG12" s="561"/>
      <c r="AH12" s="547"/>
      <c r="AI12" s="548"/>
      <c r="AJ12" s="548"/>
      <c r="AK12" s="546"/>
      <c r="AL12" s="548"/>
      <c r="AM12" s="545"/>
      <c r="AN12" s="545"/>
      <c r="AO12" s="545"/>
      <c r="AP12" s="545"/>
      <c r="AQ12" s="553"/>
      <c r="AR12" s="545"/>
      <c r="AS12" s="545"/>
      <c r="AT12" s="545"/>
      <c r="AU12" s="545"/>
      <c r="AV12" s="545"/>
      <c r="AW12" s="545"/>
      <c r="AX12" s="541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</row>
    <row r="13" spans="1:62" ht="15" customHeight="1">
      <c r="A13" s="221"/>
      <c r="B13" s="222"/>
      <c r="C13" s="223"/>
      <c r="D13" s="222"/>
      <c r="E13" s="222"/>
      <c r="F13" s="222"/>
      <c r="G13" s="222"/>
      <c r="H13" s="222"/>
      <c r="I13" s="222"/>
      <c r="J13" s="222"/>
      <c r="K13" s="223"/>
      <c r="L13" s="224"/>
      <c r="M13" s="225"/>
      <c r="N13" s="222"/>
      <c r="O13" s="222"/>
      <c r="P13" s="222"/>
      <c r="Q13" s="223"/>
      <c r="R13" s="222"/>
      <c r="S13" s="222"/>
      <c r="T13" s="222"/>
      <c r="U13" s="223"/>
      <c r="V13" s="222"/>
      <c r="W13" s="222"/>
      <c r="X13" s="222"/>
      <c r="Y13" s="222"/>
      <c r="Z13" s="222"/>
      <c r="AA13" s="226"/>
      <c r="AB13" s="223"/>
      <c r="AC13" s="226"/>
      <c r="AD13" s="223"/>
      <c r="AE13" s="227"/>
      <c r="AF13" s="228"/>
      <c r="AG13" s="222"/>
      <c r="AH13" s="226"/>
      <c r="AI13" s="222"/>
      <c r="AJ13" s="226"/>
      <c r="AK13" s="222"/>
      <c r="AL13" s="226"/>
      <c r="AM13" s="222"/>
      <c r="AN13" s="226"/>
      <c r="AO13" s="222"/>
      <c r="AP13" s="227"/>
      <c r="AQ13" s="226"/>
      <c r="AR13" s="222"/>
      <c r="AS13" s="226"/>
      <c r="AT13" s="222"/>
      <c r="AU13" s="226"/>
      <c r="AV13" s="222"/>
      <c r="AW13" s="226"/>
      <c r="AX13" s="228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</row>
    <row r="14" spans="1:62" s="14" customFormat="1" ht="15" customHeight="1">
      <c r="A14" s="229" t="s">
        <v>35</v>
      </c>
      <c r="B14" s="159">
        <v>831573</v>
      </c>
      <c r="C14" s="230">
        <v>0.8</v>
      </c>
      <c r="D14" s="159">
        <v>3075545</v>
      </c>
      <c r="E14" s="159">
        <v>38062775</v>
      </c>
      <c r="F14" s="159">
        <v>4989609</v>
      </c>
      <c r="G14" s="159">
        <v>13114593</v>
      </c>
      <c r="H14" s="159">
        <v>11933663</v>
      </c>
      <c r="I14" s="159">
        <v>1376729</v>
      </c>
      <c r="J14" s="159">
        <v>73379589</v>
      </c>
      <c r="K14" s="231">
        <v>66.400000000000006</v>
      </c>
      <c r="L14" s="232">
        <v>16547897</v>
      </c>
      <c r="M14" s="233">
        <v>15</v>
      </c>
      <c r="N14" s="159">
        <v>8275370</v>
      </c>
      <c r="O14" s="159">
        <v>6848423</v>
      </c>
      <c r="P14" s="159">
        <v>2879663</v>
      </c>
      <c r="Q14" s="231">
        <v>2.6</v>
      </c>
      <c r="R14" s="159">
        <v>1790138</v>
      </c>
      <c r="S14" s="159">
        <v>1078839</v>
      </c>
      <c r="T14" s="159">
        <v>93638722</v>
      </c>
      <c r="U14" s="231">
        <v>84.7</v>
      </c>
      <c r="V14" s="159">
        <v>0</v>
      </c>
      <c r="W14" s="159">
        <v>1130493</v>
      </c>
      <c r="X14" s="159">
        <v>141550</v>
      </c>
      <c r="Y14" s="159">
        <v>19867</v>
      </c>
      <c r="Z14" s="159">
        <v>684112</v>
      </c>
      <c r="AA14" s="161">
        <v>1976022</v>
      </c>
      <c r="AB14" s="231">
        <v>1.8000000000000003</v>
      </c>
      <c r="AC14" s="161">
        <v>14902694</v>
      </c>
      <c r="AD14" s="234">
        <v>13.5</v>
      </c>
      <c r="AE14" s="184">
        <v>110517438</v>
      </c>
      <c r="AF14" s="235">
        <v>70775115</v>
      </c>
      <c r="AG14" s="159">
        <v>9029216</v>
      </c>
      <c r="AH14" s="161">
        <v>56544030</v>
      </c>
      <c r="AI14" s="159">
        <v>1631319</v>
      </c>
      <c r="AJ14" s="161">
        <v>9944019</v>
      </c>
      <c r="AK14" s="159">
        <v>2619206</v>
      </c>
      <c r="AL14" s="161">
        <v>24735</v>
      </c>
      <c r="AM14" s="159">
        <v>9226</v>
      </c>
      <c r="AN14" s="161">
        <v>12792165</v>
      </c>
      <c r="AO14" s="159">
        <v>14932432</v>
      </c>
      <c r="AP14" s="184">
        <v>98508938</v>
      </c>
      <c r="AQ14" s="161">
        <v>4342650</v>
      </c>
      <c r="AR14" s="159">
        <v>485281</v>
      </c>
      <c r="AS14" s="161">
        <v>498344</v>
      </c>
      <c r="AT14" s="159">
        <v>6390928</v>
      </c>
      <c r="AU14" s="161">
        <v>-1122998</v>
      </c>
      <c r="AV14" s="159">
        <v>1414295</v>
      </c>
      <c r="AW14" s="161">
        <v>12008500</v>
      </c>
      <c r="AX14" s="235">
        <v>110517438</v>
      </c>
    </row>
    <row r="15" spans="1:62" s="14" customFormat="1" ht="15" customHeight="1">
      <c r="A15" s="229" t="s">
        <v>4</v>
      </c>
      <c r="B15" s="159">
        <v>91275</v>
      </c>
      <c r="C15" s="230">
        <v>0.5</v>
      </c>
      <c r="D15" s="159">
        <v>66537</v>
      </c>
      <c r="E15" s="159">
        <v>8119167</v>
      </c>
      <c r="F15" s="159">
        <v>895318</v>
      </c>
      <c r="G15" s="159">
        <v>2277580</v>
      </c>
      <c r="H15" s="159">
        <v>899069</v>
      </c>
      <c r="I15" s="159">
        <v>246438</v>
      </c>
      <c r="J15" s="159">
        <v>12523009</v>
      </c>
      <c r="K15" s="231">
        <v>74.5</v>
      </c>
      <c r="L15" s="232">
        <v>1280141</v>
      </c>
      <c r="M15" s="233">
        <v>7.6</v>
      </c>
      <c r="N15" s="159">
        <v>39093</v>
      </c>
      <c r="O15" s="159">
        <v>282</v>
      </c>
      <c r="P15" s="159">
        <v>177125</v>
      </c>
      <c r="Q15" s="231">
        <v>1.1000000000000001</v>
      </c>
      <c r="R15" s="159">
        <v>74181</v>
      </c>
      <c r="S15" s="159">
        <v>112523</v>
      </c>
      <c r="T15" s="159">
        <v>14071550</v>
      </c>
      <c r="U15" s="231">
        <v>83.7</v>
      </c>
      <c r="V15" s="159">
        <v>0</v>
      </c>
      <c r="W15" s="159">
        <v>148387</v>
      </c>
      <c r="X15" s="159">
        <v>74042</v>
      </c>
      <c r="Y15" s="159">
        <v>9561</v>
      </c>
      <c r="Z15" s="159">
        <v>198967</v>
      </c>
      <c r="AA15" s="161">
        <v>430956</v>
      </c>
      <c r="AB15" s="231">
        <v>2.6</v>
      </c>
      <c r="AC15" s="161">
        <v>2300273</v>
      </c>
      <c r="AD15" s="234">
        <v>13.699999999999998</v>
      </c>
      <c r="AE15" s="184">
        <v>16802779</v>
      </c>
      <c r="AF15" s="235">
        <v>13016004</v>
      </c>
      <c r="AG15" s="159">
        <v>922041</v>
      </c>
      <c r="AH15" s="161">
        <v>11197492</v>
      </c>
      <c r="AI15" s="159">
        <v>218622</v>
      </c>
      <c r="AJ15" s="161">
        <v>990139</v>
      </c>
      <c r="AK15" s="159">
        <v>607827</v>
      </c>
      <c r="AL15" s="161">
        <v>1924</v>
      </c>
      <c r="AM15" s="159">
        <v>-1012</v>
      </c>
      <c r="AN15" s="161">
        <v>520962</v>
      </c>
      <c r="AO15" s="159">
        <v>2318238</v>
      </c>
      <c r="AP15" s="184">
        <v>15854192</v>
      </c>
      <c r="AQ15" s="161">
        <v>15534</v>
      </c>
      <c r="AR15" s="159">
        <v>1001053</v>
      </c>
      <c r="AS15" s="161">
        <v>0</v>
      </c>
      <c r="AT15" s="159">
        <v>-442425</v>
      </c>
      <c r="AU15" s="161">
        <v>0</v>
      </c>
      <c r="AV15" s="159">
        <v>374425</v>
      </c>
      <c r="AW15" s="161">
        <v>948587</v>
      </c>
      <c r="AX15" s="235">
        <v>16802779</v>
      </c>
    </row>
    <row r="16" spans="1:62" s="14" customFormat="1" ht="15" customHeight="1">
      <c r="A16" s="229" t="s">
        <v>206</v>
      </c>
      <c r="B16" s="159">
        <v>1965913</v>
      </c>
      <c r="C16" s="230">
        <v>0.7</v>
      </c>
      <c r="D16" s="159">
        <v>44548504</v>
      </c>
      <c r="E16" s="159">
        <v>85722630</v>
      </c>
      <c r="F16" s="159">
        <v>14058017</v>
      </c>
      <c r="G16" s="159">
        <v>7814813</v>
      </c>
      <c r="H16" s="159">
        <v>20726260</v>
      </c>
      <c r="I16" s="159">
        <v>837094</v>
      </c>
      <c r="J16" s="159">
        <v>184869992</v>
      </c>
      <c r="K16" s="231">
        <v>69</v>
      </c>
      <c r="L16" s="232">
        <v>46569255</v>
      </c>
      <c r="M16" s="233">
        <v>17.399999999999999</v>
      </c>
      <c r="N16" s="159">
        <v>33256464</v>
      </c>
      <c r="O16" s="159">
        <v>7552948</v>
      </c>
      <c r="P16" s="159">
        <v>3833264</v>
      </c>
      <c r="Q16" s="231">
        <v>1.4</v>
      </c>
      <c r="R16" s="159">
        <v>1806237</v>
      </c>
      <c r="S16" s="159">
        <v>1957719</v>
      </c>
      <c r="T16" s="159">
        <v>237238425</v>
      </c>
      <c r="U16" s="231">
        <v>88.6</v>
      </c>
      <c r="V16" s="159">
        <v>0</v>
      </c>
      <c r="W16" s="159">
        <v>1456380</v>
      </c>
      <c r="X16" s="159">
        <v>310382</v>
      </c>
      <c r="Y16" s="159">
        <v>94133</v>
      </c>
      <c r="Z16" s="159">
        <v>2134720</v>
      </c>
      <c r="AA16" s="161">
        <v>3995615</v>
      </c>
      <c r="AB16" s="231">
        <v>1.5</v>
      </c>
      <c r="AC16" s="161">
        <v>26561902</v>
      </c>
      <c r="AD16" s="234">
        <v>9.9</v>
      </c>
      <c r="AE16" s="184">
        <v>267795942</v>
      </c>
      <c r="AF16" s="235">
        <v>155077009</v>
      </c>
      <c r="AG16" s="159">
        <v>17935821</v>
      </c>
      <c r="AH16" s="161">
        <v>135298455</v>
      </c>
      <c r="AI16" s="159">
        <v>3134180</v>
      </c>
      <c r="AJ16" s="161">
        <v>12335579</v>
      </c>
      <c r="AK16" s="159">
        <v>4281833</v>
      </c>
      <c r="AL16" s="161">
        <v>26961</v>
      </c>
      <c r="AM16" s="159">
        <v>8233710</v>
      </c>
      <c r="AN16" s="161">
        <v>40325314</v>
      </c>
      <c r="AO16" s="159">
        <v>26587987</v>
      </c>
      <c r="AP16" s="184">
        <v>230224019</v>
      </c>
      <c r="AQ16" s="161">
        <v>100000</v>
      </c>
      <c r="AR16" s="159">
        <v>6131</v>
      </c>
      <c r="AS16" s="161">
        <v>0</v>
      </c>
      <c r="AT16" s="159">
        <v>13279848</v>
      </c>
      <c r="AU16" s="161">
        <v>-2110369</v>
      </c>
      <c r="AV16" s="159">
        <v>26296313</v>
      </c>
      <c r="AW16" s="161">
        <v>37571923</v>
      </c>
      <c r="AX16" s="235">
        <v>267795942</v>
      </c>
    </row>
    <row r="17" spans="1:50" s="14" customFormat="1" ht="15" customHeight="1">
      <c r="A17" s="229" t="s">
        <v>207</v>
      </c>
      <c r="B17" s="159">
        <v>423130</v>
      </c>
      <c r="C17" s="230">
        <v>1.7000000000000002</v>
      </c>
      <c r="D17" s="159">
        <v>298648</v>
      </c>
      <c r="E17" s="159">
        <v>6247459</v>
      </c>
      <c r="F17" s="159">
        <v>2713706</v>
      </c>
      <c r="G17" s="159">
        <v>4605254</v>
      </c>
      <c r="H17" s="159">
        <v>2618343</v>
      </c>
      <c r="I17" s="159">
        <v>335846</v>
      </c>
      <c r="J17" s="159">
        <v>16819257</v>
      </c>
      <c r="K17" s="231">
        <v>68.5</v>
      </c>
      <c r="L17" s="232">
        <v>4865282</v>
      </c>
      <c r="M17" s="233">
        <v>19.8</v>
      </c>
      <c r="N17" s="159">
        <v>951734</v>
      </c>
      <c r="O17" s="159">
        <v>3278355</v>
      </c>
      <c r="P17" s="159">
        <v>881978</v>
      </c>
      <c r="Q17" s="231">
        <v>3.6000000000000005</v>
      </c>
      <c r="R17" s="159">
        <v>643581</v>
      </c>
      <c r="S17" s="159">
        <v>238845</v>
      </c>
      <c r="T17" s="159">
        <v>22989647</v>
      </c>
      <c r="U17" s="231">
        <v>93.6</v>
      </c>
      <c r="V17" s="159">
        <v>0</v>
      </c>
      <c r="W17" s="159">
        <v>128040</v>
      </c>
      <c r="X17" s="159">
        <v>63738</v>
      </c>
      <c r="Y17" s="159">
        <v>12829</v>
      </c>
      <c r="Z17" s="159">
        <v>122847</v>
      </c>
      <c r="AA17" s="161">
        <v>327454</v>
      </c>
      <c r="AB17" s="231">
        <v>1.3</v>
      </c>
      <c r="AC17" s="161">
        <v>1232914</v>
      </c>
      <c r="AD17" s="234">
        <v>5</v>
      </c>
      <c r="AE17" s="184">
        <v>24550015</v>
      </c>
      <c r="AF17" s="235">
        <v>17207569</v>
      </c>
      <c r="AG17" s="159">
        <v>1424153</v>
      </c>
      <c r="AH17" s="161">
        <v>12908072</v>
      </c>
      <c r="AI17" s="159">
        <v>308198</v>
      </c>
      <c r="AJ17" s="161">
        <v>2189878</v>
      </c>
      <c r="AK17" s="159">
        <v>1797972</v>
      </c>
      <c r="AL17" s="161">
        <v>3448</v>
      </c>
      <c r="AM17" s="159">
        <v>-7833</v>
      </c>
      <c r="AN17" s="161">
        <v>4494927</v>
      </c>
      <c r="AO17" s="159">
        <v>1232512</v>
      </c>
      <c r="AP17" s="184">
        <v>22927174</v>
      </c>
      <c r="AQ17" s="161">
        <v>80120</v>
      </c>
      <c r="AR17" s="159">
        <v>298227</v>
      </c>
      <c r="AS17" s="161">
        <v>49650</v>
      </c>
      <c r="AT17" s="159">
        <v>757943</v>
      </c>
      <c r="AU17" s="161">
        <v>0</v>
      </c>
      <c r="AV17" s="159">
        <v>436901</v>
      </c>
      <c r="AW17" s="161">
        <v>1622841</v>
      </c>
      <c r="AX17" s="235">
        <v>24550015</v>
      </c>
    </row>
    <row r="18" spans="1:50" s="14" customFormat="1" ht="15" customHeight="1">
      <c r="A18" s="229" t="s">
        <v>208</v>
      </c>
      <c r="B18" s="159">
        <v>2013800</v>
      </c>
      <c r="C18" s="230">
        <v>1.9</v>
      </c>
      <c r="D18" s="159">
        <v>2116376</v>
      </c>
      <c r="E18" s="159">
        <v>30483921</v>
      </c>
      <c r="F18" s="159">
        <v>7016626</v>
      </c>
      <c r="G18" s="159">
        <v>13877793</v>
      </c>
      <c r="H18" s="159">
        <v>13473460</v>
      </c>
      <c r="I18" s="159">
        <v>658048</v>
      </c>
      <c r="J18" s="159">
        <v>67848168</v>
      </c>
      <c r="K18" s="231">
        <v>63.1</v>
      </c>
      <c r="L18" s="232">
        <v>18841241</v>
      </c>
      <c r="M18" s="233">
        <v>17.5</v>
      </c>
      <c r="N18" s="159">
        <v>6664210</v>
      </c>
      <c r="O18" s="159">
        <v>10761997</v>
      </c>
      <c r="P18" s="159">
        <v>1956842</v>
      </c>
      <c r="Q18" s="231">
        <v>1.8000000000000003</v>
      </c>
      <c r="R18" s="159">
        <v>1379350</v>
      </c>
      <c r="S18" s="159">
        <v>634214</v>
      </c>
      <c r="T18" s="159">
        <v>90660052</v>
      </c>
      <c r="U18" s="231">
        <v>84.3</v>
      </c>
      <c r="V18" s="159">
        <v>0</v>
      </c>
      <c r="W18" s="159">
        <v>735228</v>
      </c>
      <c r="X18" s="159">
        <v>166107</v>
      </c>
      <c r="Y18" s="159">
        <v>43077</v>
      </c>
      <c r="Z18" s="159">
        <v>839358</v>
      </c>
      <c r="AA18" s="161">
        <v>1783770</v>
      </c>
      <c r="AB18" s="231">
        <v>1.7000000000000002</v>
      </c>
      <c r="AC18" s="161">
        <v>15054431</v>
      </c>
      <c r="AD18" s="234">
        <v>14.000000000000002</v>
      </c>
      <c r="AE18" s="184">
        <v>107498252</v>
      </c>
      <c r="AF18" s="235">
        <v>68505855</v>
      </c>
      <c r="AG18" s="159">
        <v>8258813</v>
      </c>
      <c r="AH18" s="161">
        <v>58084148</v>
      </c>
      <c r="AI18" s="159">
        <v>1202721</v>
      </c>
      <c r="AJ18" s="161">
        <v>6483540</v>
      </c>
      <c r="AK18" s="159">
        <v>2711198</v>
      </c>
      <c r="AL18" s="161">
        <v>24248</v>
      </c>
      <c r="AM18" s="159">
        <v>59681</v>
      </c>
      <c r="AN18" s="161">
        <v>13710692</v>
      </c>
      <c r="AO18" s="159">
        <v>15074729</v>
      </c>
      <c r="AP18" s="184">
        <v>97350957</v>
      </c>
      <c r="AQ18" s="161">
        <v>102500</v>
      </c>
      <c r="AR18" s="159">
        <v>365936</v>
      </c>
      <c r="AS18" s="161">
        <v>1607440</v>
      </c>
      <c r="AT18" s="159">
        <v>6489781</v>
      </c>
      <c r="AU18" s="161">
        <v>-197415</v>
      </c>
      <c r="AV18" s="159">
        <v>1779052</v>
      </c>
      <c r="AW18" s="161">
        <v>10147295</v>
      </c>
      <c r="AX18" s="235">
        <v>107498252</v>
      </c>
    </row>
    <row r="19" spans="1:50" s="14" customFormat="1" ht="15" customHeight="1">
      <c r="A19" s="229" t="s">
        <v>8</v>
      </c>
      <c r="B19" s="159">
        <v>53435</v>
      </c>
      <c r="C19" s="230">
        <v>0.90000000000000013</v>
      </c>
      <c r="D19" s="159">
        <v>0</v>
      </c>
      <c r="E19" s="159">
        <v>2001458</v>
      </c>
      <c r="F19" s="159">
        <v>567637</v>
      </c>
      <c r="G19" s="159">
        <v>572366</v>
      </c>
      <c r="H19" s="159">
        <v>952280</v>
      </c>
      <c r="I19" s="159">
        <v>106152</v>
      </c>
      <c r="J19" s="159">
        <v>4251353</v>
      </c>
      <c r="K19" s="231">
        <v>73.900000000000006</v>
      </c>
      <c r="L19" s="232">
        <v>102648</v>
      </c>
      <c r="M19" s="233">
        <v>1.8000000000000003</v>
      </c>
      <c r="N19" s="159">
        <v>0</v>
      </c>
      <c r="O19" s="159">
        <v>1</v>
      </c>
      <c r="P19" s="159">
        <v>733</v>
      </c>
      <c r="Q19" s="236">
        <v>0</v>
      </c>
      <c r="R19" s="159">
        <v>107</v>
      </c>
      <c r="S19" s="159">
        <v>626</v>
      </c>
      <c r="T19" s="159">
        <v>4408169</v>
      </c>
      <c r="U19" s="231">
        <v>76.599999999999994</v>
      </c>
      <c r="V19" s="159">
        <v>0</v>
      </c>
      <c r="W19" s="159">
        <v>79702</v>
      </c>
      <c r="X19" s="159">
        <v>14151</v>
      </c>
      <c r="Y19" s="159">
        <v>9824</v>
      </c>
      <c r="Z19" s="159">
        <v>127683</v>
      </c>
      <c r="AA19" s="161">
        <v>231359</v>
      </c>
      <c r="AB19" s="231">
        <v>4</v>
      </c>
      <c r="AC19" s="161">
        <v>1114498</v>
      </c>
      <c r="AD19" s="234">
        <v>19.399999999999999</v>
      </c>
      <c r="AE19" s="184">
        <v>5754026</v>
      </c>
      <c r="AF19" s="235">
        <v>3776254</v>
      </c>
      <c r="AG19" s="159">
        <v>440295</v>
      </c>
      <c r="AH19" s="161">
        <v>2778483</v>
      </c>
      <c r="AI19" s="159">
        <v>87706</v>
      </c>
      <c r="AJ19" s="161">
        <v>804154</v>
      </c>
      <c r="AK19" s="159">
        <v>105279</v>
      </c>
      <c r="AL19" s="161">
        <v>631</v>
      </c>
      <c r="AM19" s="159">
        <v>-64</v>
      </c>
      <c r="AN19" s="161">
        <v>143375</v>
      </c>
      <c r="AO19" s="159">
        <v>1125309</v>
      </c>
      <c r="AP19" s="184">
        <v>5044873</v>
      </c>
      <c r="AQ19" s="161">
        <v>302282</v>
      </c>
      <c r="AR19" s="159">
        <v>211442</v>
      </c>
      <c r="AS19" s="161">
        <v>94880</v>
      </c>
      <c r="AT19" s="159">
        <v>162639</v>
      </c>
      <c r="AU19" s="161">
        <v>0</v>
      </c>
      <c r="AV19" s="159">
        <v>-62090</v>
      </c>
      <c r="AW19" s="161">
        <v>709153</v>
      </c>
      <c r="AX19" s="235">
        <v>5754026</v>
      </c>
    </row>
    <row r="20" spans="1:50" s="14" customFormat="1" ht="15" customHeight="1">
      <c r="A20" s="229" t="s">
        <v>209</v>
      </c>
      <c r="B20" s="159">
        <v>202326</v>
      </c>
      <c r="C20" s="230">
        <v>0.6</v>
      </c>
      <c r="D20" s="159">
        <v>316255</v>
      </c>
      <c r="E20" s="159">
        <v>8949416</v>
      </c>
      <c r="F20" s="159">
        <v>461379</v>
      </c>
      <c r="G20" s="159">
        <v>4585968</v>
      </c>
      <c r="H20" s="159">
        <v>1511817</v>
      </c>
      <c r="I20" s="159">
        <v>125093</v>
      </c>
      <c r="J20" s="159">
        <v>15949928</v>
      </c>
      <c r="K20" s="231">
        <v>49.4</v>
      </c>
      <c r="L20" s="232">
        <v>3068042</v>
      </c>
      <c r="M20" s="233">
        <v>9.5</v>
      </c>
      <c r="N20" s="159">
        <v>871594</v>
      </c>
      <c r="O20" s="159">
        <v>420085</v>
      </c>
      <c r="P20" s="159">
        <v>72238</v>
      </c>
      <c r="Q20" s="236">
        <v>0.2</v>
      </c>
      <c r="R20" s="159">
        <v>6841</v>
      </c>
      <c r="S20" s="159">
        <v>65476</v>
      </c>
      <c r="T20" s="159">
        <v>19292534</v>
      </c>
      <c r="U20" s="231">
        <v>59.8</v>
      </c>
      <c r="V20" s="159">
        <v>0</v>
      </c>
      <c r="W20" s="159">
        <v>795753</v>
      </c>
      <c r="X20" s="159">
        <v>54159</v>
      </c>
      <c r="Y20" s="159">
        <v>5728</v>
      </c>
      <c r="Z20" s="159">
        <v>132419</v>
      </c>
      <c r="AA20" s="161">
        <v>988060</v>
      </c>
      <c r="AB20" s="231">
        <v>3.1</v>
      </c>
      <c r="AC20" s="161">
        <v>11978736</v>
      </c>
      <c r="AD20" s="234">
        <v>37.1</v>
      </c>
      <c r="AE20" s="184">
        <v>32259330</v>
      </c>
      <c r="AF20" s="235">
        <v>12896853</v>
      </c>
      <c r="AG20" s="159">
        <v>1492275</v>
      </c>
      <c r="AH20" s="161">
        <v>10077942</v>
      </c>
      <c r="AI20" s="159">
        <v>383855</v>
      </c>
      <c r="AJ20" s="161">
        <v>2052316</v>
      </c>
      <c r="AK20" s="159">
        <v>377454</v>
      </c>
      <c r="AL20" s="161">
        <v>5286</v>
      </c>
      <c r="AM20" s="159">
        <v>-1342</v>
      </c>
      <c r="AN20" s="161">
        <v>4382019</v>
      </c>
      <c r="AO20" s="159">
        <v>12057931</v>
      </c>
      <c r="AP20" s="184">
        <v>29335461</v>
      </c>
      <c r="AQ20" s="161">
        <v>990715</v>
      </c>
      <c r="AR20" s="159">
        <v>181384</v>
      </c>
      <c r="AS20" s="161">
        <v>0</v>
      </c>
      <c r="AT20" s="159">
        <v>1741892</v>
      </c>
      <c r="AU20" s="161">
        <v>-371175</v>
      </c>
      <c r="AV20" s="159">
        <v>381053</v>
      </c>
      <c r="AW20" s="161">
        <v>2923869</v>
      </c>
      <c r="AX20" s="235">
        <v>32259330</v>
      </c>
    </row>
    <row r="21" spans="1:50" s="14" customFormat="1" ht="15" customHeight="1">
      <c r="A21" s="229" t="s">
        <v>10</v>
      </c>
      <c r="B21" s="159">
        <v>210483</v>
      </c>
      <c r="C21" s="230">
        <v>1.2</v>
      </c>
      <c r="D21" s="159">
        <v>66358</v>
      </c>
      <c r="E21" s="159">
        <v>6422114</v>
      </c>
      <c r="F21" s="159">
        <v>973732</v>
      </c>
      <c r="G21" s="159">
        <v>3273324</v>
      </c>
      <c r="H21" s="159">
        <v>2562192</v>
      </c>
      <c r="I21" s="159">
        <v>256604</v>
      </c>
      <c r="J21" s="159">
        <v>13554324</v>
      </c>
      <c r="K21" s="231">
        <v>80.400000000000006</v>
      </c>
      <c r="L21" s="232">
        <v>1949445</v>
      </c>
      <c r="M21" s="233">
        <v>11.6</v>
      </c>
      <c r="N21" s="159">
        <v>485162</v>
      </c>
      <c r="O21" s="159">
        <v>31926</v>
      </c>
      <c r="P21" s="159">
        <v>82564</v>
      </c>
      <c r="Q21" s="236">
        <v>0.5</v>
      </c>
      <c r="R21" s="159">
        <v>18306</v>
      </c>
      <c r="S21" s="159">
        <v>66657</v>
      </c>
      <c r="T21" s="159">
        <v>15796816</v>
      </c>
      <c r="U21" s="231">
        <v>93.7</v>
      </c>
      <c r="V21" s="159">
        <v>0</v>
      </c>
      <c r="W21" s="159">
        <v>208685</v>
      </c>
      <c r="X21" s="159">
        <v>30474</v>
      </c>
      <c r="Y21" s="159">
        <v>9275</v>
      </c>
      <c r="Z21" s="159">
        <v>122001</v>
      </c>
      <c r="AA21" s="161">
        <v>370435</v>
      </c>
      <c r="AB21" s="231">
        <v>2.2000000000000002</v>
      </c>
      <c r="AC21" s="161">
        <v>694695</v>
      </c>
      <c r="AD21" s="234">
        <v>4.0999999999999996</v>
      </c>
      <c r="AE21" s="184">
        <v>16861946</v>
      </c>
      <c r="AF21" s="235">
        <v>14899668</v>
      </c>
      <c r="AG21" s="159">
        <v>1345667</v>
      </c>
      <c r="AH21" s="161">
        <v>13200897</v>
      </c>
      <c r="AI21" s="159">
        <v>191311</v>
      </c>
      <c r="AJ21" s="161">
        <v>548011</v>
      </c>
      <c r="AK21" s="159">
        <v>956924</v>
      </c>
      <c r="AL21" s="161">
        <v>2525</v>
      </c>
      <c r="AM21" s="159">
        <v>-3389</v>
      </c>
      <c r="AN21" s="161">
        <v>707051</v>
      </c>
      <c r="AO21" s="159">
        <v>703717</v>
      </c>
      <c r="AP21" s="184">
        <v>16307046</v>
      </c>
      <c r="AQ21" s="161">
        <v>199309</v>
      </c>
      <c r="AR21" s="159">
        <v>654205</v>
      </c>
      <c r="AS21" s="161">
        <v>215790</v>
      </c>
      <c r="AT21" s="159">
        <v>-233407</v>
      </c>
      <c r="AU21" s="161">
        <v>-54740</v>
      </c>
      <c r="AV21" s="159">
        <v>-226257</v>
      </c>
      <c r="AW21" s="161">
        <v>554900</v>
      </c>
      <c r="AX21" s="235">
        <v>16861946</v>
      </c>
    </row>
    <row r="22" spans="1:50" s="14" customFormat="1" ht="15" customHeight="1">
      <c r="A22" s="229" t="s">
        <v>11</v>
      </c>
      <c r="B22" s="159">
        <v>87105</v>
      </c>
      <c r="C22" s="230">
        <v>0.90000000000000013</v>
      </c>
      <c r="D22" s="159">
        <v>110579</v>
      </c>
      <c r="E22" s="159">
        <v>1308749</v>
      </c>
      <c r="F22" s="159">
        <v>943817</v>
      </c>
      <c r="G22" s="159">
        <v>1477971</v>
      </c>
      <c r="H22" s="159">
        <v>1076940</v>
      </c>
      <c r="I22" s="159">
        <v>31413</v>
      </c>
      <c r="J22" s="159">
        <v>5133165</v>
      </c>
      <c r="K22" s="231">
        <v>53</v>
      </c>
      <c r="L22" s="232">
        <v>2743059</v>
      </c>
      <c r="M22" s="233">
        <v>28.300000000000004</v>
      </c>
      <c r="N22" s="159">
        <v>344647</v>
      </c>
      <c r="O22" s="159">
        <v>863860</v>
      </c>
      <c r="P22" s="159">
        <v>224796</v>
      </c>
      <c r="Q22" s="236">
        <v>2.2999999999999998</v>
      </c>
      <c r="R22" s="159">
        <v>210043</v>
      </c>
      <c r="S22" s="159">
        <v>14753</v>
      </c>
      <c r="T22" s="159">
        <v>8188124</v>
      </c>
      <c r="U22" s="231">
        <v>84.5</v>
      </c>
      <c r="V22" s="159">
        <v>0</v>
      </c>
      <c r="W22" s="159">
        <v>191112</v>
      </c>
      <c r="X22" s="159">
        <v>27884</v>
      </c>
      <c r="Y22" s="159">
        <v>16609</v>
      </c>
      <c r="Z22" s="159">
        <v>111874</v>
      </c>
      <c r="AA22" s="161">
        <v>347480</v>
      </c>
      <c r="AB22" s="231">
        <v>3.6000000000000005</v>
      </c>
      <c r="AC22" s="161">
        <v>1155015</v>
      </c>
      <c r="AD22" s="234">
        <v>11.9</v>
      </c>
      <c r="AE22" s="184">
        <v>9690619</v>
      </c>
      <c r="AF22" s="235">
        <v>5723439</v>
      </c>
      <c r="AG22" s="159">
        <v>1085689</v>
      </c>
      <c r="AH22" s="161">
        <v>3524082</v>
      </c>
      <c r="AI22" s="159">
        <v>262924</v>
      </c>
      <c r="AJ22" s="161">
        <v>1766384</v>
      </c>
      <c r="AK22" s="159">
        <v>168025</v>
      </c>
      <c r="AL22" s="161">
        <v>2023</v>
      </c>
      <c r="AM22" s="159">
        <v>-25</v>
      </c>
      <c r="AN22" s="161">
        <v>899358</v>
      </c>
      <c r="AO22" s="159">
        <v>1145000</v>
      </c>
      <c r="AP22" s="184">
        <v>7767772</v>
      </c>
      <c r="AQ22" s="161">
        <v>253334</v>
      </c>
      <c r="AR22" s="159">
        <v>154492</v>
      </c>
      <c r="AS22" s="161">
        <v>39839</v>
      </c>
      <c r="AT22" s="159">
        <v>1700491</v>
      </c>
      <c r="AU22" s="161">
        <v>-104047</v>
      </c>
      <c r="AV22" s="159">
        <v>-121261</v>
      </c>
      <c r="AW22" s="161">
        <v>1922848</v>
      </c>
      <c r="AX22" s="235">
        <v>9690619</v>
      </c>
    </row>
    <row r="23" spans="1:50" s="14" customFormat="1" ht="15" customHeight="1">
      <c r="A23" s="229" t="s">
        <v>210</v>
      </c>
      <c r="B23" s="159">
        <v>605485</v>
      </c>
      <c r="C23" s="230">
        <v>1.9</v>
      </c>
      <c r="D23" s="159">
        <v>158205</v>
      </c>
      <c r="E23" s="159">
        <v>10304719</v>
      </c>
      <c r="F23" s="159">
        <v>4149113</v>
      </c>
      <c r="G23" s="159">
        <v>3174987</v>
      </c>
      <c r="H23" s="159">
        <v>3996254</v>
      </c>
      <c r="I23" s="159">
        <v>746342</v>
      </c>
      <c r="J23" s="159">
        <v>22629020</v>
      </c>
      <c r="K23" s="231">
        <v>71.599999999999994</v>
      </c>
      <c r="L23" s="232">
        <v>6388643</v>
      </c>
      <c r="M23" s="233">
        <v>20.2</v>
      </c>
      <c r="N23" s="159">
        <v>1832839</v>
      </c>
      <c r="O23" s="159">
        <v>56857</v>
      </c>
      <c r="P23" s="159">
        <v>314166</v>
      </c>
      <c r="Q23" s="236">
        <v>1</v>
      </c>
      <c r="R23" s="159">
        <v>292730</v>
      </c>
      <c r="S23" s="159">
        <v>54785</v>
      </c>
      <c r="T23" s="159">
        <v>29937314</v>
      </c>
      <c r="U23" s="231">
        <v>94.7</v>
      </c>
      <c r="V23" s="159">
        <v>0</v>
      </c>
      <c r="W23" s="159">
        <v>313751</v>
      </c>
      <c r="X23" s="159">
        <v>54335</v>
      </c>
      <c r="Y23" s="159">
        <v>13894</v>
      </c>
      <c r="Z23" s="159">
        <v>164362</v>
      </c>
      <c r="AA23" s="161">
        <v>546342</v>
      </c>
      <c r="AB23" s="231">
        <v>1.7000000000000002</v>
      </c>
      <c r="AC23" s="161">
        <v>1142747</v>
      </c>
      <c r="AD23" s="234">
        <v>3.6000000000000005</v>
      </c>
      <c r="AE23" s="184">
        <v>31626403</v>
      </c>
      <c r="AF23" s="235">
        <v>24141110</v>
      </c>
      <c r="AG23" s="159">
        <v>1959430</v>
      </c>
      <c r="AH23" s="161">
        <v>19156726</v>
      </c>
      <c r="AI23" s="159">
        <v>443366</v>
      </c>
      <c r="AJ23" s="161">
        <v>2639653</v>
      </c>
      <c r="AK23" s="159">
        <v>1895892</v>
      </c>
      <c r="AL23" s="161">
        <v>5473</v>
      </c>
      <c r="AM23" s="159">
        <v>783</v>
      </c>
      <c r="AN23" s="161">
        <v>3230313</v>
      </c>
      <c r="AO23" s="159">
        <v>1125531</v>
      </c>
      <c r="AP23" s="184">
        <v>28497736</v>
      </c>
      <c r="AQ23" s="161">
        <v>806793</v>
      </c>
      <c r="AR23" s="159">
        <v>463680</v>
      </c>
      <c r="AS23" s="161">
        <v>344567</v>
      </c>
      <c r="AT23" s="159">
        <v>1334471</v>
      </c>
      <c r="AU23" s="161">
        <v>-60667</v>
      </c>
      <c r="AV23" s="159">
        <v>239822</v>
      </c>
      <c r="AW23" s="161">
        <v>3128667</v>
      </c>
      <c r="AX23" s="235">
        <v>31626403</v>
      </c>
    </row>
    <row r="24" spans="1:50" s="14" customFormat="1" ht="15" customHeight="1">
      <c r="A24" s="229" t="s">
        <v>211</v>
      </c>
      <c r="B24" s="159">
        <v>404126</v>
      </c>
      <c r="C24" s="230">
        <v>1.8000000000000003</v>
      </c>
      <c r="D24" s="159">
        <v>26580</v>
      </c>
      <c r="E24" s="159">
        <v>7522063</v>
      </c>
      <c r="F24" s="159">
        <v>519554</v>
      </c>
      <c r="G24" s="159">
        <v>102590</v>
      </c>
      <c r="H24" s="159">
        <v>1361752</v>
      </c>
      <c r="I24" s="159">
        <v>45</v>
      </c>
      <c r="J24" s="159">
        <v>9532586</v>
      </c>
      <c r="K24" s="231">
        <v>43.3</v>
      </c>
      <c r="L24" s="232">
        <v>869957</v>
      </c>
      <c r="M24" s="233">
        <v>4</v>
      </c>
      <c r="N24" s="159">
        <v>619656</v>
      </c>
      <c r="O24" s="159">
        <v>137094</v>
      </c>
      <c r="P24" s="159">
        <v>1377</v>
      </c>
      <c r="Q24" s="236">
        <v>0</v>
      </c>
      <c r="R24" s="159">
        <v>59</v>
      </c>
      <c r="S24" s="159">
        <v>1318</v>
      </c>
      <c r="T24" s="159">
        <v>10808046</v>
      </c>
      <c r="U24" s="231">
        <v>49.1</v>
      </c>
      <c r="V24" s="159">
        <v>16121</v>
      </c>
      <c r="W24" s="159">
        <v>87361</v>
      </c>
      <c r="X24" s="159">
        <v>46019</v>
      </c>
      <c r="Y24" s="159">
        <v>29363</v>
      </c>
      <c r="Z24" s="159">
        <v>115123</v>
      </c>
      <c r="AA24" s="161">
        <v>293987</v>
      </c>
      <c r="AB24" s="231">
        <v>1.3</v>
      </c>
      <c r="AC24" s="161">
        <v>10894512</v>
      </c>
      <c r="AD24" s="234">
        <v>49.5</v>
      </c>
      <c r="AE24" s="184">
        <v>21996546</v>
      </c>
      <c r="AF24" s="235">
        <v>5077160</v>
      </c>
      <c r="AG24" s="159">
        <v>1036827</v>
      </c>
      <c r="AH24" s="161">
        <v>2469762</v>
      </c>
      <c r="AI24" s="159">
        <v>312514</v>
      </c>
      <c r="AJ24" s="161">
        <v>2174446</v>
      </c>
      <c r="AK24" s="159">
        <v>117322</v>
      </c>
      <c r="AL24" s="161">
        <v>3109</v>
      </c>
      <c r="AM24" s="159">
        <v>5</v>
      </c>
      <c r="AN24" s="161">
        <v>1155845</v>
      </c>
      <c r="AO24" s="159">
        <v>10940780</v>
      </c>
      <c r="AP24" s="184">
        <v>17173791</v>
      </c>
      <c r="AQ24" s="161">
        <v>141570</v>
      </c>
      <c r="AR24" s="159">
        <v>68154</v>
      </c>
      <c r="AS24" s="161">
        <v>0</v>
      </c>
      <c r="AT24" s="159">
        <v>4150685</v>
      </c>
      <c r="AU24" s="161">
        <v>0</v>
      </c>
      <c r="AV24" s="159">
        <v>462346</v>
      </c>
      <c r="AW24" s="161">
        <v>4822755</v>
      </c>
      <c r="AX24" s="235">
        <v>21996546</v>
      </c>
    </row>
    <row r="25" spans="1:50" s="14" customFormat="1" ht="15" customHeight="1">
      <c r="A25" s="229" t="s">
        <v>27</v>
      </c>
      <c r="B25" s="159">
        <v>658292</v>
      </c>
      <c r="C25" s="230">
        <v>2.2000000000000002</v>
      </c>
      <c r="D25" s="159">
        <v>135367</v>
      </c>
      <c r="E25" s="159">
        <v>16291533</v>
      </c>
      <c r="F25" s="159">
        <v>1390635</v>
      </c>
      <c r="G25" s="159">
        <v>2642842</v>
      </c>
      <c r="H25" s="159">
        <v>1477144</v>
      </c>
      <c r="I25" s="159">
        <v>318885</v>
      </c>
      <c r="J25" s="159">
        <v>22256405</v>
      </c>
      <c r="K25" s="231">
        <v>73</v>
      </c>
      <c r="L25" s="232">
        <v>1201543</v>
      </c>
      <c r="M25" s="233">
        <v>3.9</v>
      </c>
      <c r="N25" s="159">
        <v>372100</v>
      </c>
      <c r="O25" s="159">
        <v>395601</v>
      </c>
      <c r="P25" s="159">
        <v>85211</v>
      </c>
      <c r="Q25" s="236">
        <v>0.3</v>
      </c>
      <c r="R25" s="159">
        <v>56526</v>
      </c>
      <c r="S25" s="159">
        <v>28684</v>
      </c>
      <c r="T25" s="159">
        <v>24201451</v>
      </c>
      <c r="U25" s="231">
        <v>79.400000000000006</v>
      </c>
      <c r="V25" s="159">
        <v>0</v>
      </c>
      <c r="W25" s="159">
        <v>287953</v>
      </c>
      <c r="X25" s="159">
        <v>7990</v>
      </c>
      <c r="Y25" s="159">
        <v>6635</v>
      </c>
      <c r="Z25" s="159">
        <v>310433</v>
      </c>
      <c r="AA25" s="161">
        <v>613011</v>
      </c>
      <c r="AB25" s="231">
        <v>2</v>
      </c>
      <c r="AC25" s="161">
        <v>5656279</v>
      </c>
      <c r="AD25" s="234">
        <v>18.600000000000001</v>
      </c>
      <c r="AE25" s="184">
        <v>30470741</v>
      </c>
      <c r="AF25" s="235">
        <v>16771855</v>
      </c>
      <c r="AG25" s="159">
        <v>2051494</v>
      </c>
      <c r="AH25" s="161">
        <v>12832674</v>
      </c>
      <c r="AI25" s="159">
        <v>435736</v>
      </c>
      <c r="AJ25" s="161">
        <v>3275886</v>
      </c>
      <c r="AK25" s="159">
        <v>216630</v>
      </c>
      <c r="AL25" s="161">
        <v>10929</v>
      </c>
      <c r="AM25" s="159">
        <v>0</v>
      </c>
      <c r="AN25" s="161">
        <v>2430197</v>
      </c>
      <c r="AO25" s="159">
        <v>5633074</v>
      </c>
      <c r="AP25" s="184">
        <v>24835126</v>
      </c>
      <c r="AQ25" s="161">
        <v>162015</v>
      </c>
      <c r="AR25" s="159">
        <v>901319</v>
      </c>
      <c r="AS25" s="161">
        <v>49800</v>
      </c>
      <c r="AT25" s="159">
        <v>3003962</v>
      </c>
      <c r="AU25" s="161">
        <v>0</v>
      </c>
      <c r="AV25" s="159">
        <v>1518519</v>
      </c>
      <c r="AW25" s="161">
        <v>5635615</v>
      </c>
      <c r="AX25" s="235">
        <v>30470741</v>
      </c>
    </row>
    <row r="26" spans="1:50" s="14" customFormat="1" ht="15" customHeight="1">
      <c r="A26" s="237" t="s">
        <v>23</v>
      </c>
      <c r="B26" s="159">
        <v>854760</v>
      </c>
      <c r="C26" s="230">
        <v>1.5</v>
      </c>
      <c r="D26" s="159">
        <v>125877</v>
      </c>
      <c r="E26" s="159">
        <v>30684167</v>
      </c>
      <c r="F26" s="159">
        <v>4308136</v>
      </c>
      <c r="G26" s="159">
        <v>5662396</v>
      </c>
      <c r="H26" s="159">
        <v>3639846</v>
      </c>
      <c r="I26" s="159">
        <v>574167</v>
      </c>
      <c r="J26" s="159">
        <v>45144714</v>
      </c>
      <c r="K26" s="231">
        <v>79.2</v>
      </c>
      <c r="L26" s="232">
        <v>3587544</v>
      </c>
      <c r="M26" s="233">
        <v>6.3</v>
      </c>
      <c r="N26" s="159">
        <v>1035177</v>
      </c>
      <c r="O26" s="159">
        <v>2142482</v>
      </c>
      <c r="P26" s="159">
        <v>47789</v>
      </c>
      <c r="Q26" s="236">
        <v>0.1</v>
      </c>
      <c r="R26" s="159">
        <v>18910</v>
      </c>
      <c r="S26" s="159">
        <v>37882</v>
      </c>
      <c r="T26" s="159">
        <v>49634806</v>
      </c>
      <c r="U26" s="231">
        <v>87.1</v>
      </c>
      <c r="V26" s="159">
        <v>0</v>
      </c>
      <c r="W26" s="159">
        <v>913082</v>
      </c>
      <c r="X26" s="159">
        <v>34569</v>
      </c>
      <c r="Y26" s="159">
        <v>47964</v>
      </c>
      <c r="Z26" s="159">
        <v>564929</v>
      </c>
      <c r="AA26" s="161">
        <v>1560544</v>
      </c>
      <c r="AB26" s="231">
        <v>2.7</v>
      </c>
      <c r="AC26" s="161">
        <v>5817464</v>
      </c>
      <c r="AD26" s="234">
        <v>10.199999999999999</v>
      </c>
      <c r="AE26" s="184">
        <v>57012814</v>
      </c>
      <c r="AF26" s="235">
        <v>37228436</v>
      </c>
      <c r="AG26" s="159">
        <v>6500491</v>
      </c>
      <c r="AH26" s="161">
        <v>27119984</v>
      </c>
      <c r="AI26" s="159">
        <v>1124414</v>
      </c>
      <c r="AJ26" s="161">
        <v>7167685</v>
      </c>
      <c r="AK26" s="159">
        <v>1800120</v>
      </c>
      <c r="AL26" s="161">
        <v>16091</v>
      </c>
      <c r="AM26" s="159">
        <v>-1647</v>
      </c>
      <c r="AN26" s="161">
        <v>5253639</v>
      </c>
      <c r="AO26" s="159">
        <v>5850995</v>
      </c>
      <c r="AP26" s="184">
        <v>48331423</v>
      </c>
      <c r="AQ26" s="161">
        <v>578274</v>
      </c>
      <c r="AR26" s="159">
        <v>820023</v>
      </c>
      <c r="AS26" s="161">
        <v>299452</v>
      </c>
      <c r="AT26" s="159">
        <v>6644072</v>
      </c>
      <c r="AU26" s="161">
        <v>1461</v>
      </c>
      <c r="AV26" s="159">
        <v>338109</v>
      </c>
      <c r="AW26" s="161">
        <v>8681391</v>
      </c>
      <c r="AX26" s="235">
        <v>57012814</v>
      </c>
    </row>
    <row r="27" spans="1:50" s="14" customFormat="1" ht="15" customHeight="1">
      <c r="A27" s="229" t="s">
        <v>212</v>
      </c>
      <c r="B27" s="159">
        <v>25769</v>
      </c>
      <c r="C27" s="230">
        <v>1.7000000000000002</v>
      </c>
      <c r="D27" s="159">
        <v>12</v>
      </c>
      <c r="E27" s="159">
        <v>592964</v>
      </c>
      <c r="F27" s="159">
        <v>225688</v>
      </c>
      <c r="G27" s="159">
        <v>4800</v>
      </c>
      <c r="H27" s="159">
        <v>288252</v>
      </c>
      <c r="I27" s="159">
        <v>0</v>
      </c>
      <c r="J27" s="159">
        <v>1111716</v>
      </c>
      <c r="K27" s="231">
        <v>74.400000000000006</v>
      </c>
      <c r="L27" s="232">
        <v>0</v>
      </c>
      <c r="M27" s="233">
        <v>0</v>
      </c>
      <c r="N27" s="159">
        <v>0</v>
      </c>
      <c r="O27" s="159">
        <v>0</v>
      </c>
      <c r="P27" s="159">
        <v>0</v>
      </c>
      <c r="Q27" s="236">
        <v>0</v>
      </c>
      <c r="R27" s="159">
        <v>0</v>
      </c>
      <c r="S27" s="159">
        <v>0</v>
      </c>
      <c r="T27" s="159">
        <v>1137485</v>
      </c>
      <c r="U27" s="231">
        <v>76.099999999999994</v>
      </c>
      <c r="V27" s="159">
        <v>0</v>
      </c>
      <c r="W27" s="159">
        <v>14483</v>
      </c>
      <c r="X27" s="159">
        <v>4012</v>
      </c>
      <c r="Y27" s="159">
        <v>676</v>
      </c>
      <c r="Z27" s="159">
        <v>25925</v>
      </c>
      <c r="AA27" s="161">
        <v>45096</v>
      </c>
      <c r="AB27" s="231">
        <v>3</v>
      </c>
      <c r="AC27" s="161">
        <v>311816</v>
      </c>
      <c r="AD27" s="234">
        <v>20.9</v>
      </c>
      <c r="AE27" s="184">
        <v>1494397</v>
      </c>
      <c r="AF27" s="235">
        <v>815336</v>
      </c>
      <c r="AG27" s="159">
        <v>140719</v>
      </c>
      <c r="AH27" s="161">
        <v>624723</v>
      </c>
      <c r="AI27" s="159">
        <v>24444</v>
      </c>
      <c r="AJ27" s="161">
        <v>144713</v>
      </c>
      <c r="AK27" s="159">
        <v>21237</v>
      </c>
      <c r="AL27" s="161">
        <v>221</v>
      </c>
      <c r="AM27" s="159">
        <v>-1117</v>
      </c>
      <c r="AN27" s="161">
        <v>41001</v>
      </c>
      <c r="AO27" s="159">
        <v>309989</v>
      </c>
      <c r="AP27" s="184">
        <v>1165209</v>
      </c>
      <c r="AQ27" s="161">
        <v>285216</v>
      </c>
      <c r="AR27" s="159">
        <v>208300</v>
      </c>
      <c r="AS27" s="161">
        <v>0</v>
      </c>
      <c r="AT27" s="159">
        <v>-295694</v>
      </c>
      <c r="AU27" s="161">
        <v>0</v>
      </c>
      <c r="AV27" s="159">
        <v>131366</v>
      </c>
      <c r="AW27" s="161">
        <v>329188</v>
      </c>
      <c r="AX27" s="235">
        <v>1494397</v>
      </c>
    </row>
    <row r="28" spans="1:50" s="14" customFormat="1" ht="15" customHeight="1">
      <c r="A28" s="229" t="s">
        <v>213</v>
      </c>
      <c r="B28" s="159">
        <v>152859</v>
      </c>
      <c r="C28" s="230">
        <v>2.5</v>
      </c>
      <c r="D28" s="159">
        <v>28680</v>
      </c>
      <c r="E28" s="159">
        <v>1470602</v>
      </c>
      <c r="F28" s="159">
        <v>1211903</v>
      </c>
      <c r="G28" s="159">
        <v>1117501</v>
      </c>
      <c r="H28" s="159">
        <v>111093</v>
      </c>
      <c r="I28" s="159">
        <v>9669</v>
      </c>
      <c r="J28" s="159">
        <v>3949448</v>
      </c>
      <c r="K28" s="231">
        <v>65.3</v>
      </c>
      <c r="L28" s="232">
        <v>659453</v>
      </c>
      <c r="M28" s="233">
        <v>10.9</v>
      </c>
      <c r="N28" s="159">
        <v>89661</v>
      </c>
      <c r="O28" s="159">
        <v>0</v>
      </c>
      <c r="P28" s="159">
        <v>612</v>
      </c>
      <c r="Q28" s="236">
        <v>0</v>
      </c>
      <c r="R28" s="159">
        <v>149</v>
      </c>
      <c r="S28" s="159">
        <v>463</v>
      </c>
      <c r="T28" s="159">
        <v>4762372</v>
      </c>
      <c r="U28" s="231">
        <v>78.7</v>
      </c>
      <c r="V28" s="159">
        <v>0</v>
      </c>
      <c r="W28" s="159">
        <v>49082</v>
      </c>
      <c r="X28" s="159">
        <v>10692</v>
      </c>
      <c r="Y28" s="159">
        <v>2556</v>
      </c>
      <c r="Z28" s="159">
        <v>61660</v>
      </c>
      <c r="AA28" s="161">
        <v>123990</v>
      </c>
      <c r="AB28" s="231">
        <v>2</v>
      </c>
      <c r="AC28" s="161">
        <v>1165088</v>
      </c>
      <c r="AD28" s="234">
        <v>19.3</v>
      </c>
      <c r="AE28" s="184">
        <v>6051451</v>
      </c>
      <c r="AF28" s="235">
        <v>3275844</v>
      </c>
      <c r="AG28" s="159">
        <v>103890</v>
      </c>
      <c r="AH28" s="161">
        <v>2864164</v>
      </c>
      <c r="AI28" s="159">
        <v>36626</v>
      </c>
      <c r="AJ28" s="161">
        <v>306025</v>
      </c>
      <c r="AK28" s="159">
        <v>68243</v>
      </c>
      <c r="AL28" s="161">
        <v>692</v>
      </c>
      <c r="AM28" s="159">
        <v>0</v>
      </c>
      <c r="AN28" s="161">
        <v>1019672</v>
      </c>
      <c r="AO28" s="159">
        <v>1170228</v>
      </c>
      <c r="AP28" s="184">
        <v>5465743</v>
      </c>
      <c r="AQ28" s="161">
        <v>207026</v>
      </c>
      <c r="AR28" s="159">
        <v>182337</v>
      </c>
      <c r="AS28" s="161">
        <v>179875</v>
      </c>
      <c r="AT28" s="159">
        <v>109490</v>
      </c>
      <c r="AU28" s="161">
        <v>-341</v>
      </c>
      <c r="AV28" s="159">
        <v>-92681</v>
      </c>
      <c r="AW28" s="161">
        <v>585707</v>
      </c>
      <c r="AX28" s="235">
        <v>6051451</v>
      </c>
    </row>
    <row r="29" spans="1:50" s="14" customFormat="1" ht="15" customHeight="1">
      <c r="A29" s="229" t="s">
        <v>214</v>
      </c>
      <c r="B29" s="159">
        <v>18972</v>
      </c>
      <c r="C29" s="230">
        <v>0.6</v>
      </c>
      <c r="D29" s="159">
        <v>0</v>
      </c>
      <c r="E29" s="159">
        <v>652461</v>
      </c>
      <c r="F29" s="159">
        <v>980214</v>
      </c>
      <c r="G29" s="159">
        <v>11301</v>
      </c>
      <c r="H29" s="159">
        <v>0</v>
      </c>
      <c r="I29" s="159">
        <v>1831</v>
      </c>
      <c r="J29" s="159">
        <v>1645807</v>
      </c>
      <c r="K29" s="231">
        <v>56.3</v>
      </c>
      <c r="L29" s="232">
        <v>18400</v>
      </c>
      <c r="M29" s="233">
        <v>0.6</v>
      </c>
      <c r="N29" s="159">
        <v>0</v>
      </c>
      <c r="O29" s="159">
        <v>0</v>
      </c>
      <c r="P29" s="159">
        <v>0</v>
      </c>
      <c r="Q29" s="236">
        <v>0</v>
      </c>
      <c r="R29" s="159">
        <v>0</v>
      </c>
      <c r="S29" s="159">
        <v>0</v>
      </c>
      <c r="T29" s="159">
        <v>1683180</v>
      </c>
      <c r="U29" s="231">
        <v>57.600000000000009</v>
      </c>
      <c r="V29" s="159">
        <v>0</v>
      </c>
      <c r="W29" s="159">
        <v>10990</v>
      </c>
      <c r="X29" s="159">
        <v>4797</v>
      </c>
      <c r="Y29" s="159">
        <v>430</v>
      </c>
      <c r="Z29" s="159">
        <v>30977</v>
      </c>
      <c r="AA29" s="161">
        <v>47194</v>
      </c>
      <c r="AB29" s="231">
        <v>1.6</v>
      </c>
      <c r="AC29" s="161">
        <v>1193205</v>
      </c>
      <c r="AD29" s="234">
        <v>40.799999999999997</v>
      </c>
      <c r="AE29" s="184">
        <v>2923579</v>
      </c>
      <c r="AF29" s="235">
        <v>1461135</v>
      </c>
      <c r="AG29" s="159">
        <v>16818</v>
      </c>
      <c r="AH29" s="161">
        <v>1363270</v>
      </c>
      <c r="AI29" s="159">
        <v>8739</v>
      </c>
      <c r="AJ29" s="161">
        <v>33541</v>
      </c>
      <c r="AK29" s="159">
        <v>55385</v>
      </c>
      <c r="AL29" s="161">
        <v>201</v>
      </c>
      <c r="AM29" s="159">
        <v>0</v>
      </c>
      <c r="AN29" s="161">
        <v>30041</v>
      </c>
      <c r="AO29" s="159">
        <v>1194900</v>
      </c>
      <c r="AP29" s="184">
        <v>2686076</v>
      </c>
      <c r="AQ29" s="161">
        <v>201352</v>
      </c>
      <c r="AR29" s="159">
        <v>74907</v>
      </c>
      <c r="AS29" s="161">
        <v>0</v>
      </c>
      <c r="AT29" s="159">
        <v>1867</v>
      </c>
      <c r="AU29" s="161">
        <v>0</v>
      </c>
      <c r="AV29" s="159">
        <v>-40622</v>
      </c>
      <c r="AW29" s="161">
        <v>237503</v>
      </c>
      <c r="AX29" s="235">
        <v>2923579</v>
      </c>
    </row>
    <row r="30" spans="1:50" s="14" customFormat="1" ht="15" customHeight="1">
      <c r="A30" s="229" t="s">
        <v>215</v>
      </c>
      <c r="B30" s="159">
        <v>1450065</v>
      </c>
      <c r="C30" s="230">
        <v>7.8</v>
      </c>
      <c r="D30" s="159">
        <v>34892</v>
      </c>
      <c r="E30" s="159">
        <v>3770346</v>
      </c>
      <c r="F30" s="159">
        <v>2716348</v>
      </c>
      <c r="G30" s="159">
        <v>1646466</v>
      </c>
      <c r="H30" s="159">
        <v>4962901</v>
      </c>
      <c r="I30" s="159">
        <v>169945</v>
      </c>
      <c r="J30" s="159">
        <v>13300898</v>
      </c>
      <c r="K30" s="231">
        <v>71.8</v>
      </c>
      <c r="L30" s="232">
        <v>2957877</v>
      </c>
      <c r="M30" s="233">
        <v>16</v>
      </c>
      <c r="N30" s="159">
        <v>1939739</v>
      </c>
      <c r="O30" s="159">
        <v>10</v>
      </c>
      <c r="P30" s="159">
        <v>76564</v>
      </c>
      <c r="Q30" s="231">
        <v>0.4</v>
      </c>
      <c r="R30" s="159">
        <v>31962</v>
      </c>
      <c r="S30" s="159">
        <v>44602</v>
      </c>
      <c r="T30" s="159">
        <v>17785404</v>
      </c>
      <c r="U30" s="231">
        <v>96.1</v>
      </c>
      <c r="V30" s="159">
        <v>0</v>
      </c>
      <c r="W30" s="159">
        <v>179614</v>
      </c>
      <c r="X30" s="159">
        <v>27990</v>
      </c>
      <c r="Y30" s="159">
        <v>2980</v>
      </c>
      <c r="Z30" s="159">
        <v>500859</v>
      </c>
      <c r="AA30" s="161">
        <v>711443</v>
      </c>
      <c r="AB30" s="231">
        <v>3.8</v>
      </c>
      <c r="AC30" s="161">
        <v>19437</v>
      </c>
      <c r="AD30" s="234">
        <v>0.1</v>
      </c>
      <c r="AE30" s="184">
        <v>18516283</v>
      </c>
      <c r="AF30" s="235">
        <v>7717829</v>
      </c>
      <c r="AG30" s="159">
        <v>484826</v>
      </c>
      <c r="AH30" s="161">
        <v>7340271</v>
      </c>
      <c r="AI30" s="159">
        <v>70367</v>
      </c>
      <c r="AJ30" s="161">
        <v>193601</v>
      </c>
      <c r="AK30" s="159">
        <v>112409</v>
      </c>
      <c r="AL30" s="161">
        <v>1182</v>
      </c>
      <c r="AM30" s="159">
        <v>-1775</v>
      </c>
      <c r="AN30" s="161">
        <v>9910260</v>
      </c>
      <c r="AO30" s="159">
        <v>18160</v>
      </c>
      <c r="AP30" s="184">
        <v>17644474</v>
      </c>
      <c r="AQ30" s="161">
        <v>1525132</v>
      </c>
      <c r="AR30" s="159">
        <v>20601</v>
      </c>
      <c r="AS30" s="161">
        <v>99766</v>
      </c>
      <c r="AT30" s="159">
        <v>-286670</v>
      </c>
      <c r="AU30" s="161">
        <v>-37</v>
      </c>
      <c r="AV30" s="159">
        <v>-486984</v>
      </c>
      <c r="AW30" s="161">
        <v>871809</v>
      </c>
      <c r="AX30" s="235">
        <v>18516283</v>
      </c>
    </row>
    <row r="31" spans="1:50" s="14" customFormat="1" ht="15" customHeight="1">
      <c r="A31" s="229" t="s">
        <v>216</v>
      </c>
      <c r="B31" s="159">
        <v>142872</v>
      </c>
      <c r="C31" s="230">
        <v>2.6</v>
      </c>
      <c r="D31" s="159">
        <v>0</v>
      </c>
      <c r="E31" s="159">
        <v>1584879</v>
      </c>
      <c r="F31" s="159">
        <v>1164665</v>
      </c>
      <c r="G31" s="159">
        <v>121584</v>
      </c>
      <c r="H31" s="159">
        <v>1848313</v>
      </c>
      <c r="I31" s="159">
        <v>0</v>
      </c>
      <c r="J31" s="159">
        <v>4719441</v>
      </c>
      <c r="K31" s="231">
        <v>85</v>
      </c>
      <c r="L31" s="232">
        <v>28</v>
      </c>
      <c r="M31" s="233">
        <v>0</v>
      </c>
      <c r="N31" s="159">
        <v>0</v>
      </c>
      <c r="O31" s="159">
        <v>0</v>
      </c>
      <c r="P31" s="159">
        <v>239018</v>
      </c>
      <c r="Q31" s="231">
        <v>4.3</v>
      </c>
      <c r="R31" s="159">
        <v>167127</v>
      </c>
      <c r="S31" s="159">
        <v>71891</v>
      </c>
      <c r="T31" s="159">
        <v>5101360</v>
      </c>
      <c r="U31" s="231">
        <v>91.9</v>
      </c>
      <c r="V31" s="159">
        <v>201061</v>
      </c>
      <c r="W31" s="159">
        <v>40030</v>
      </c>
      <c r="X31" s="159">
        <v>61492</v>
      </c>
      <c r="Y31" s="159">
        <v>1806</v>
      </c>
      <c r="Z31" s="159">
        <v>60118</v>
      </c>
      <c r="AA31" s="161">
        <v>364507</v>
      </c>
      <c r="AB31" s="231">
        <v>6.6000000000000005</v>
      </c>
      <c r="AC31" s="161">
        <v>87527</v>
      </c>
      <c r="AD31" s="234">
        <v>1.6</v>
      </c>
      <c r="AE31" s="184">
        <v>5553395</v>
      </c>
      <c r="AF31" s="235">
        <v>479936</v>
      </c>
      <c r="AG31" s="159">
        <v>87998</v>
      </c>
      <c r="AH31" s="161">
        <v>-145898</v>
      </c>
      <c r="AI31" s="159">
        <v>39583</v>
      </c>
      <c r="AJ31" s="161">
        <v>537164</v>
      </c>
      <c r="AK31" s="159">
        <v>56160</v>
      </c>
      <c r="AL31" s="161">
        <v>1144</v>
      </c>
      <c r="AM31" s="159">
        <v>0</v>
      </c>
      <c r="AN31" s="161">
        <v>951378</v>
      </c>
      <c r="AO31" s="159">
        <v>81830</v>
      </c>
      <c r="AP31" s="184">
        <v>1513144</v>
      </c>
      <c r="AQ31" s="161">
        <v>34860</v>
      </c>
      <c r="AR31" s="159">
        <v>31833</v>
      </c>
      <c r="AS31" s="161">
        <v>0</v>
      </c>
      <c r="AT31" s="159">
        <v>3784047</v>
      </c>
      <c r="AU31" s="161">
        <v>0</v>
      </c>
      <c r="AV31" s="159">
        <v>189511</v>
      </c>
      <c r="AW31" s="161">
        <v>4040251</v>
      </c>
      <c r="AX31" s="235">
        <v>5553395</v>
      </c>
    </row>
    <row r="32" spans="1:50" s="14" customFormat="1" ht="15" customHeight="1">
      <c r="A32" s="229" t="s">
        <v>19</v>
      </c>
      <c r="B32" s="159">
        <v>304191</v>
      </c>
      <c r="C32" s="230">
        <v>1.9</v>
      </c>
      <c r="D32" s="159">
        <v>80039</v>
      </c>
      <c r="E32" s="159">
        <v>9491357</v>
      </c>
      <c r="F32" s="159">
        <v>2144413</v>
      </c>
      <c r="G32" s="159">
        <v>124531</v>
      </c>
      <c r="H32" s="159">
        <v>2381988</v>
      </c>
      <c r="I32" s="159">
        <v>168598</v>
      </c>
      <c r="J32" s="159">
        <v>14390925</v>
      </c>
      <c r="K32" s="231">
        <v>89.3</v>
      </c>
      <c r="L32" s="232">
        <v>170</v>
      </c>
      <c r="M32" s="233">
        <v>0</v>
      </c>
      <c r="N32" s="159">
        <v>0</v>
      </c>
      <c r="O32" s="159">
        <v>0</v>
      </c>
      <c r="P32" s="159">
        <v>212557</v>
      </c>
      <c r="Q32" s="231">
        <v>1.3</v>
      </c>
      <c r="R32" s="159">
        <v>97822</v>
      </c>
      <c r="S32" s="159">
        <v>114735</v>
      </c>
      <c r="T32" s="159">
        <v>14907843</v>
      </c>
      <c r="U32" s="231">
        <v>92.5</v>
      </c>
      <c r="V32" s="159">
        <v>0</v>
      </c>
      <c r="W32" s="159">
        <v>101613</v>
      </c>
      <c r="X32" s="159">
        <v>77998</v>
      </c>
      <c r="Y32" s="159">
        <v>25714</v>
      </c>
      <c r="Z32" s="159">
        <v>79508</v>
      </c>
      <c r="AA32" s="161">
        <v>284833</v>
      </c>
      <c r="AB32" s="231">
        <v>1.8000000000000003</v>
      </c>
      <c r="AC32" s="161">
        <v>923621</v>
      </c>
      <c r="AD32" s="234">
        <v>5.7</v>
      </c>
      <c r="AE32" s="184">
        <v>16116298</v>
      </c>
      <c r="AF32" s="235">
        <v>11079846</v>
      </c>
      <c r="AG32" s="159">
        <v>672882</v>
      </c>
      <c r="AH32" s="161">
        <v>8233470</v>
      </c>
      <c r="AI32" s="159">
        <v>513839</v>
      </c>
      <c r="AJ32" s="161">
        <v>1822613</v>
      </c>
      <c r="AK32" s="159">
        <v>497616</v>
      </c>
      <c r="AL32" s="161">
        <v>11826</v>
      </c>
      <c r="AM32" s="159">
        <v>0</v>
      </c>
      <c r="AN32" s="161">
        <v>821323</v>
      </c>
      <c r="AO32" s="159">
        <v>925984</v>
      </c>
      <c r="AP32" s="184">
        <v>12827153</v>
      </c>
      <c r="AQ32" s="161">
        <v>603289</v>
      </c>
      <c r="AR32" s="159">
        <v>904934</v>
      </c>
      <c r="AS32" s="161">
        <v>0</v>
      </c>
      <c r="AT32" s="159">
        <v>1194696</v>
      </c>
      <c r="AU32" s="161">
        <v>191</v>
      </c>
      <c r="AV32" s="159">
        <v>586035</v>
      </c>
      <c r="AW32" s="161">
        <v>3289145</v>
      </c>
      <c r="AX32" s="235">
        <v>16116298</v>
      </c>
    </row>
    <row r="33" spans="1:62" s="14" customFormat="1" ht="15" customHeight="1">
      <c r="A33" s="229" t="s">
        <v>20</v>
      </c>
      <c r="B33" s="159">
        <v>287322</v>
      </c>
      <c r="C33" s="230">
        <v>2.6</v>
      </c>
      <c r="D33" s="159">
        <v>9252</v>
      </c>
      <c r="E33" s="159">
        <v>2204622</v>
      </c>
      <c r="F33" s="159">
        <v>2225595</v>
      </c>
      <c r="G33" s="159">
        <v>1551870</v>
      </c>
      <c r="H33" s="159">
        <v>798686</v>
      </c>
      <c r="I33" s="159">
        <v>188269</v>
      </c>
      <c r="J33" s="159">
        <v>6978295</v>
      </c>
      <c r="K33" s="231">
        <v>62.7</v>
      </c>
      <c r="L33" s="232">
        <v>3606259</v>
      </c>
      <c r="M33" s="233">
        <v>32.4</v>
      </c>
      <c r="N33" s="159">
        <v>124000</v>
      </c>
      <c r="O33" s="159">
        <v>0</v>
      </c>
      <c r="P33" s="159">
        <v>0</v>
      </c>
      <c r="Q33" s="231">
        <v>0</v>
      </c>
      <c r="R33" s="159">
        <v>0</v>
      </c>
      <c r="S33" s="159">
        <v>0</v>
      </c>
      <c r="T33" s="159">
        <v>10871876</v>
      </c>
      <c r="U33" s="231">
        <v>97.6</v>
      </c>
      <c r="V33" s="159">
        <v>0</v>
      </c>
      <c r="W33" s="159">
        <v>139851</v>
      </c>
      <c r="X33" s="159">
        <v>932</v>
      </c>
      <c r="Y33" s="159">
        <v>1493</v>
      </c>
      <c r="Z33" s="159">
        <v>60327</v>
      </c>
      <c r="AA33" s="161">
        <v>202603</v>
      </c>
      <c r="AB33" s="231">
        <v>1.8000000000000003</v>
      </c>
      <c r="AC33" s="161">
        <v>63572</v>
      </c>
      <c r="AD33" s="234">
        <v>0.6</v>
      </c>
      <c r="AE33" s="184">
        <v>11138051</v>
      </c>
      <c r="AF33" s="235">
        <v>6844701</v>
      </c>
      <c r="AG33" s="159">
        <v>312687</v>
      </c>
      <c r="AH33" s="161">
        <v>6506464</v>
      </c>
      <c r="AI33" s="159">
        <v>42954</v>
      </c>
      <c r="AJ33" s="161">
        <v>262096</v>
      </c>
      <c r="AK33" s="159">
        <v>33187</v>
      </c>
      <c r="AL33" s="161">
        <v>0</v>
      </c>
      <c r="AM33" s="159">
        <v>-44</v>
      </c>
      <c r="AN33" s="161">
        <v>3587820</v>
      </c>
      <c r="AO33" s="159">
        <v>59010</v>
      </c>
      <c r="AP33" s="184">
        <v>10491486</v>
      </c>
      <c r="AQ33" s="161">
        <v>340000</v>
      </c>
      <c r="AR33" s="159">
        <v>0</v>
      </c>
      <c r="AS33" s="161">
        <v>0</v>
      </c>
      <c r="AT33" s="159">
        <v>423579</v>
      </c>
      <c r="AU33" s="161">
        <v>0</v>
      </c>
      <c r="AV33" s="159">
        <v>-117014</v>
      </c>
      <c r="AW33" s="161">
        <v>646565</v>
      </c>
      <c r="AX33" s="235">
        <v>11138051</v>
      </c>
    </row>
    <row r="34" spans="1:62" s="14" customFormat="1" ht="15" customHeight="1">
      <c r="A34" s="229" t="s">
        <v>217</v>
      </c>
      <c r="B34" s="159">
        <v>316304</v>
      </c>
      <c r="C34" s="230">
        <v>0.6</v>
      </c>
      <c r="D34" s="159">
        <v>31211</v>
      </c>
      <c r="E34" s="159">
        <v>26042341</v>
      </c>
      <c r="F34" s="159">
        <v>5998488</v>
      </c>
      <c r="G34" s="159">
        <v>5511367</v>
      </c>
      <c r="H34" s="159">
        <v>6942192</v>
      </c>
      <c r="I34" s="159">
        <v>261228</v>
      </c>
      <c r="J34" s="159">
        <v>44791058</v>
      </c>
      <c r="K34" s="231">
        <v>85.2</v>
      </c>
      <c r="L34" s="232">
        <v>5896257</v>
      </c>
      <c r="M34" s="233">
        <v>11.2</v>
      </c>
      <c r="N34" s="159">
        <v>2962881</v>
      </c>
      <c r="O34" s="159">
        <v>2932327</v>
      </c>
      <c r="P34" s="159">
        <v>493248</v>
      </c>
      <c r="Q34" s="231">
        <v>0.90000000000000013</v>
      </c>
      <c r="R34" s="159">
        <v>247206</v>
      </c>
      <c r="S34" s="159">
        <v>245994</v>
      </c>
      <c r="T34" s="159">
        <v>51496868</v>
      </c>
      <c r="U34" s="231">
        <v>97.9</v>
      </c>
      <c r="V34" s="159">
        <v>0</v>
      </c>
      <c r="W34" s="159">
        <v>773942</v>
      </c>
      <c r="X34" s="159">
        <v>124960</v>
      </c>
      <c r="Y34" s="159">
        <v>16198</v>
      </c>
      <c r="Z34" s="159">
        <v>185501</v>
      </c>
      <c r="AA34" s="161">
        <v>1100601</v>
      </c>
      <c r="AB34" s="231">
        <v>2.1</v>
      </c>
      <c r="AC34" s="161">
        <v>0</v>
      </c>
      <c r="AD34" s="234">
        <v>0</v>
      </c>
      <c r="AE34" s="184">
        <v>52597469</v>
      </c>
      <c r="AF34" s="235">
        <v>44728648</v>
      </c>
      <c r="AG34" s="159">
        <v>4222115</v>
      </c>
      <c r="AH34" s="161">
        <v>38638474</v>
      </c>
      <c r="AI34" s="159">
        <v>415382</v>
      </c>
      <c r="AJ34" s="161">
        <v>4718703</v>
      </c>
      <c r="AK34" s="159">
        <v>950161</v>
      </c>
      <c r="AL34" s="161">
        <v>5921</v>
      </c>
      <c r="AM34" s="159">
        <v>-63910</v>
      </c>
      <c r="AN34" s="161">
        <v>2675496</v>
      </c>
      <c r="AO34" s="159">
        <v>0</v>
      </c>
      <c r="AP34" s="184">
        <v>47340234</v>
      </c>
      <c r="AQ34" s="161">
        <v>698969</v>
      </c>
      <c r="AR34" s="159">
        <v>3266463</v>
      </c>
      <c r="AS34" s="161">
        <v>499932</v>
      </c>
      <c r="AT34" s="159">
        <v>2176822</v>
      </c>
      <c r="AU34" s="161">
        <v>0</v>
      </c>
      <c r="AV34" s="159">
        <v>-1384951</v>
      </c>
      <c r="AW34" s="161">
        <v>5257235</v>
      </c>
      <c r="AX34" s="235">
        <v>52597469</v>
      </c>
    </row>
    <row r="35" spans="1:62" s="14" customFormat="1" ht="15" customHeight="1">
      <c r="A35" s="229" t="s">
        <v>218</v>
      </c>
      <c r="B35" s="159">
        <v>11029</v>
      </c>
      <c r="C35" s="230">
        <v>1.6</v>
      </c>
      <c r="D35" s="159">
        <v>8419</v>
      </c>
      <c r="E35" s="159">
        <v>383479</v>
      </c>
      <c r="F35" s="159">
        <v>198906</v>
      </c>
      <c r="G35" s="159">
        <v>20605</v>
      </c>
      <c r="H35" s="159">
        <v>0</v>
      </c>
      <c r="I35" s="159">
        <v>0</v>
      </c>
      <c r="J35" s="159">
        <v>611409</v>
      </c>
      <c r="K35" s="231">
        <v>90.8</v>
      </c>
      <c r="L35" s="232">
        <v>31371</v>
      </c>
      <c r="M35" s="233">
        <v>4.7</v>
      </c>
      <c r="N35" s="159">
        <v>25000</v>
      </c>
      <c r="O35" s="159">
        <v>6500</v>
      </c>
      <c r="P35" s="159">
        <v>0</v>
      </c>
      <c r="Q35" s="231">
        <v>0</v>
      </c>
      <c r="R35" s="159">
        <v>0</v>
      </c>
      <c r="S35" s="159">
        <v>0</v>
      </c>
      <c r="T35" s="159">
        <v>653808</v>
      </c>
      <c r="U35" s="231">
        <v>97.1</v>
      </c>
      <c r="V35" s="159">
        <v>0</v>
      </c>
      <c r="W35" s="159">
        <v>3655</v>
      </c>
      <c r="X35" s="159">
        <v>2577</v>
      </c>
      <c r="Y35" s="159">
        <v>980</v>
      </c>
      <c r="Z35" s="159">
        <v>12200</v>
      </c>
      <c r="AA35" s="161">
        <v>19412</v>
      </c>
      <c r="AB35" s="231">
        <v>2.9</v>
      </c>
      <c r="AC35" s="161">
        <v>0</v>
      </c>
      <c r="AD35" s="234">
        <v>0</v>
      </c>
      <c r="AE35" s="184">
        <v>673221</v>
      </c>
      <c r="AF35" s="235">
        <v>555899</v>
      </c>
      <c r="AG35" s="159">
        <v>25763</v>
      </c>
      <c r="AH35" s="161">
        <v>467316</v>
      </c>
      <c r="AI35" s="159">
        <v>9789</v>
      </c>
      <c r="AJ35" s="161">
        <v>72765</v>
      </c>
      <c r="AK35" s="159">
        <v>5884</v>
      </c>
      <c r="AL35" s="161">
        <v>145</v>
      </c>
      <c r="AM35" s="159">
        <v>0</v>
      </c>
      <c r="AN35" s="161">
        <v>4676</v>
      </c>
      <c r="AO35" s="159">
        <v>0</v>
      </c>
      <c r="AP35" s="184">
        <v>560575</v>
      </c>
      <c r="AQ35" s="161">
        <v>244000</v>
      </c>
      <c r="AR35" s="159">
        <v>0</v>
      </c>
      <c r="AS35" s="161">
        <v>0</v>
      </c>
      <c r="AT35" s="159">
        <v>-128018</v>
      </c>
      <c r="AU35" s="161">
        <v>-1769</v>
      </c>
      <c r="AV35" s="159">
        <v>-1567</v>
      </c>
      <c r="AW35" s="161">
        <v>112645</v>
      </c>
      <c r="AX35" s="235">
        <v>673221</v>
      </c>
    </row>
    <row r="36" spans="1:62" s="14" customFormat="1" ht="15" customHeight="1">
      <c r="A36" s="229"/>
      <c r="B36" s="159"/>
      <c r="C36" s="230"/>
      <c r="D36" s="159"/>
      <c r="E36" s="159"/>
      <c r="F36" s="159"/>
      <c r="G36" s="159"/>
      <c r="H36" s="159"/>
      <c r="I36" s="159"/>
      <c r="J36" s="159"/>
      <c r="K36" s="231"/>
      <c r="L36" s="232"/>
      <c r="M36" s="233"/>
      <c r="N36" s="159"/>
      <c r="O36" s="159"/>
      <c r="P36" s="159"/>
      <c r="Q36" s="231"/>
      <c r="R36" s="159"/>
      <c r="S36" s="159"/>
      <c r="T36" s="159"/>
      <c r="U36" s="231"/>
      <c r="V36" s="159"/>
      <c r="W36" s="159"/>
      <c r="X36" s="159"/>
      <c r="Y36" s="159"/>
      <c r="Z36" s="159"/>
      <c r="AA36" s="161"/>
      <c r="AB36" s="231"/>
      <c r="AC36" s="161"/>
      <c r="AD36" s="234"/>
      <c r="AE36" s="184"/>
      <c r="AF36" s="235"/>
      <c r="AG36" s="159"/>
      <c r="AH36" s="161"/>
      <c r="AI36" s="159"/>
      <c r="AJ36" s="161"/>
      <c r="AK36" s="159"/>
      <c r="AL36" s="161"/>
      <c r="AM36" s="159"/>
      <c r="AN36" s="161"/>
      <c r="AO36" s="159"/>
      <c r="AP36" s="184"/>
      <c r="AQ36" s="161"/>
      <c r="AR36" s="159"/>
      <c r="AS36" s="161"/>
      <c r="AT36" s="159"/>
      <c r="AU36" s="161"/>
      <c r="AV36" s="159"/>
      <c r="AW36" s="161"/>
      <c r="AX36" s="235"/>
    </row>
    <row r="37" spans="1:62" s="14" customFormat="1" ht="15" customHeight="1">
      <c r="A37" s="165" t="s">
        <v>30</v>
      </c>
      <c r="B37" s="404">
        <v>11111088</v>
      </c>
      <c r="C37" s="405">
        <v>1.3</v>
      </c>
      <c r="D37" s="404">
        <v>51237332</v>
      </c>
      <c r="E37" s="404">
        <v>298313224</v>
      </c>
      <c r="F37" s="404">
        <v>59853498</v>
      </c>
      <c r="G37" s="404">
        <v>73292503</v>
      </c>
      <c r="H37" s="406">
        <v>83562444</v>
      </c>
      <c r="I37" s="404">
        <v>6412397</v>
      </c>
      <c r="J37" s="404">
        <v>585390507</v>
      </c>
      <c r="K37" s="407">
        <v>69</v>
      </c>
      <c r="L37" s="408">
        <v>121184512</v>
      </c>
      <c r="M37" s="409">
        <v>14.3</v>
      </c>
      <c r="N37" s="406">
        <v>59889329</v>
      </c>
      <c r="O37" s="406">
        <v>35428749</v>
      </c>
      <c r="P37" s="406">
        <v>11579745</v>
      </c>
      <c r="Q37" s="407">
        <v>1.4</v>
      </c>
      <c r="R37" s="406">
        <v>6841275</v>
      </c>
      <c r="S37" s="406">
        <v>4770006</v>
      </c>
      <c r="T37" s="406">
        <v>729265852</v>
      </c>
      <c r="U37" s="407">
        <v>86</v>
      </c>
      <c r="V37" s="406">
        <v>217182</v>
      </c>
      <c r="W37" s="404">
        <v>7789189</v>
      </c>
      <c r="X37" s="404">
        <v>1340852</v>
      </c>
      <c r="Y37" s="404">
        <v>371590</v>
      </c>
      <c r="Z37" s="404">
        <v>6645904</v>
      </c>
      <c r="AA37" s="410">
        <v>16364716</v>
      </c>
      <c r="AB37" s="407">
        <v>1.9</v>
      </c>
      <c r="AC37" s="410">
        <v>102270426</v>
      </c>
      <c r="AD37" s="411">
        <v>12.1</v>
      </c>
      <c r="AE37" s="412">
        <v>847900994</v>
      </c>
      <c r="AF37" s="413">
        <v>522055501</v>
      </c>
      <c r="AG37" s="406">
        <v>59549910</v>
      </c>
      <c r="AH37" s="414">
        <v>431085002</v>
      </c>
      <c r="AI37" s="406">
        <v>10898586</v>
      </c>
      <c r="AJ37" s="414">
        <v>60462911</v>
      </c>
      <c r="AK37" s="406">
        <v>19455965</v>
      </c>
      <c r="AL37" s="414">
        <v>148713</v>
      </c>
      <c r="AM37" s="406">
        <v>8221247</v>
      </c>
      <c r="AN37" s="414">
        <v>109087523</v>
      </c>
      <c r="AO37" s="406">
        <v>102488333</v>
      </c>
      <c r="AP37" s="415">
        <v>741852604</v>
      </c>
      <c r="AQ37" s="414">
        <v>12214939</v>
      </c>
      <c r="AR37" s="406">
        <v>10300703</v>
      </c>
      <c r="AS37" s="414">
        <v>3979337</v>
      </c>
      <c r="AT37" s="406">
        <v>51960998</v>
      </c>
      <c r="AU37" s="414">
        <v>-4021907</v>
      </c>
      <c r="AV37" s="406">
        <v>31614320</v>
      </c>
      <c r="AW37" s="414">
        <v>106048390</v>
      </c>
      <c r="AX37" s="413">
        <v>847900994</v>
      </c>
    </row>
    <row r="38" spans="1:62" s="14" customFormat="1" ht="15" customHeight="1">
      <c r="A38" s="165"/>
      <c r="B38" s="404"/>
      <c r="C38" s="405"/>
      <c r="D38" s="404"/>
      <c r="E38" s="404"/>
      <c r="F38" s="404"/>
      <c r="G38" s="404"/>
      <c r="H38" s="406"/>
      <c r="I38" s="404"/>
      <c r="J38" s="404"/>
      <c r="K38" s="407"/>
      <c r="L38" s="408"/>
      <c r="M38" s="409"/>
      <c r="N38" s="406"/>
      <c r="O38" s="406"/>
      <c r="P38" s="406"/>
      <c r="Q38" s="407"/>
      <c r="R38" s="406"/>
      <c r="S38" s="406"/>
      <c r="T38" s="406"/>
      <c r="U38" s="407"/>
      <c r="V38" s="406"/>
      <c r="W38" s="404"/>
      <c r="X38" s="404"/>
      <c r="Y38" s="404"/>
      <c r="Z38" s="404"/>
      <c r="AA38" s="410"/>
      <c r="AB38" s="407"/>
      <c r="AC38" s="410"/>
      <c r="AD38" s="411"/>
      <c r="AE38" s="412"/>
      <c r="AF38" s="413"/>
      <c r="AG38" s="406"/>
      <c r="AH38" s="414"/>
      <c r="AI38" s="406"/>
      <c r="AJ38" s="414"/>
      <c r="AK38" s="406"/>
      <c r="AL38" s="414"/>
      <c r="AM38" s="406"/>
      <c r="AN38" s="414"/>
      <c r="AO38" s="406"/>
      <c r="AP38" s="415"/>
      <c r="AQ38" s="414"/>
      <c r="AR38" s="406"/>
      <c r="AS38" s="414"/>
      <c r="AT38" s="406"/>
      <c r="AU38" s="414"/>
      <c r="AV38" s="406"/>
      <c r="AW38" s="414"/>
      <c r="AX38" s="413"/>
    </row>
    <row r="39" spans="1:62" s="14" customFormat="1" ht="15" customHeight="1">
      <c r="A39" s="443" t="str">
        <f>'I-2'!A37</f>
        <v>2023.10</v>
      </c>
      <c r="B39" s="451">
        <v>9680558</v>
      </c>
      <c r="C39" s="230">
        <v>1.2</v>
      </c>
      <c r="D39" s="451">
        <v>48112410</v>
      </c>
      <c r="E39" s="451">
        <v>281695318</v>
      </c>
      <c r="F39" s="451">
        <v>59310019</v>
      </c>
      <c r="G39" s="451">
        <v>72019500</v>
      </c>
      <c r="H39" s="159">
        <v>83093508</v>
      </c>
      <c r="I39" s="451">
        <v>6658148</v>
      </c>
      <c r="J39" s="451">
        <v>563599272</v>
      </c>
      <c r="K39" s="231">
        <v>68.8</v>
      </c>
      <c r="L39" s="452">
        <v>122244338</v>
      </c>
      <c r="M39" s="233">
        <v>14.899999999999999</v>
      </c>
      <c r="N39" s="159">
        <v>60433097</v>
      </c>
      <c r="O39" s="159">
        <v>35718224</v>
      </c>
      <c r="P39" s="159">
        <v>11574720</v>
      </c>
      <c r="Q39" s="231">
        <v>1.4</v>
      </c>
      <c r="R39" s="159">
        <v>6839741</v>
      </c>
      <c r="S39" s="159">
        <v>4767600</v>
      </c>
      <c r="T39" s="159">
        <v>707098888</v>
      </c>
      <c r="U39" s="231">
        <v>86.3</v>
      </c>
      <c r="V39" s="159">
        <v>247534</v>
      </c>
      <c r="W39" s="451">
        <v>7538267</v>
      </c>
      <c r="X39" s="451">
        <v>1383951</v>
      </c>
      <c r="Y39" s="451">
        <v>372077</v>
      </c>
      <c r="Z39" s="451">
        <v>4772439</v>
      </c>
      <c r="AA39" s="453">
        <v>14314268</v>
      </c>
      <c r="AB39" s="231">
        <v>1.7000000000000002</v>
      </c>
      <c r="AC39" s="453">
        <v>97844631</v>
      </c>
      <c r="AD39" s="234">
        <v>11.9</v>
      </c>
      <c r="AE39" s="454">
        <v>819257787</v>
      </c>
      <c r="AF39" s="235">
        <v>496083396</v>
      </c>
      <c r="AG39" s="159">
        <v>56891171</v>
      </c>
      <c r="AH39" s="161">
        <v>405790635</v>
      </c>
      <c r="AI39" s="159">
        <v>10802380</v>
      </c>
      <c r="AJ39" s="161">
        <v>59822464</v>
      </c>
      <c r="AK39" s="159">
        <v>19512308</v>
      </c>
      <c r="AL39" s="161">
        <v>148877</v>
      </c>
      <c r="AM39" s="159">
        <v>5196794</v>
      </c>
      <c r="AN39" s="161">
        <v>114737470</v>
      </c>
      <c r="AO39" s="159">
        <v>97979838</v>
      </c>
      <c r="AP39" s="184">
        <v>713997498</v>
      </c>
      <c r="AQ39" s="161">
        <v>12214939</v>
      </c>
      <c r="AR39" s="159">
        <v>10300703</v>
      </c>
      <c r="AS39" s="161">
        <v>3979337</v>
      </c>
      <c r="AT39" s="159">
        <v>50632729</v>
      </c>
      <c r="AU39" s="161">
        <v>-4022012</v>
      </c>
      <c r="AV39" s="159">
        <v>32154592</v>
      </c>
      <c r="AW39" s="161">
        <v>105260289</v>
      </c>
      <c r="AX39" s="235">
        <v>819257787</v>
      </c>
    </row>
    <row r="40" spans="1:62" s="14" customFormat="1" ht="15" customHeight="1">
      <c r="A40" s="443" t="str">
        <f>'I-2'!A38</f>
        <v>2023.9</v>
      </c>
      <c r="B40" s="451">
        <v>9696287</v>
      </c>
      <c r="C40" s="230">
        <v>1.2</v>
      </c>
      <c r="D40" s="451">
        <v>48883484</v>
      </c>
      <c r="E40" s="451">
        <v>288857134</v>
      </c>
      <c r="F40" s="451">
        <v>60669592</v>
      </c>
      <c r="G40" s="451">
        <v>69857501</v>
      </c>
      <c r="H40" s="159">
        <v>84593157</v>
      </c>
      <c r="I40" s="451">
        <v>7065618</v>
      </c>
      <c r="J40" s="451">
        <v>572591546</v>
      </c>
      <c r="K40" s="231">
        <v>68.900000000000006</v>
      </c>
      <c r="L40" s="452">
        <v>122887345</v>
      </c>
      <c r="M40" s="233">
        <v>14.800000000000002</v>
      </c>
      <c r="N40" s="159">
        <v>60997297</v>
      </c>
      <c r="O40" s="159">
        <v>35743127</v>
      </c>
      <c r="P40" s="159">
        <v>11579916</v>
      </c>
      <c r="Q40" s="231">
        <v>1.4</v>
      </c>
      <c r="R40" s="159">
        <v>6854696</v>
      </c>
      <c r="S40" s="159">
        <v>4781178</v>
      </c>
      <c r="T40" s="159">
        <v>716755094</v>
      </c>
      <c r="U40" s="231">
        <v>86.2</v>
      </c>
      <c r="V40" s="159">
        <v>247574</v>
      </c>
      <c r="W40" s="451">
        <v>7325414</v>
      </c>
      <c r="X40" s="451">
        <v>1364676</v>
      </c>
      <c r="Y40" s="451">
        <v>372408</v>
      </c>
      <c r="Z40" s="451">
        <v>4764266</v>
      </c>
      <c r="AA40" s="453">
        <v>14074338</v>
      </c>
      <c r="AB40" s="231">
        <v>1.7000000000000002</v>
      </c>
      <c r="AC40" s="453">
        <v>100541112</v>
      </c>
      <c r="AD40" s="234">
        <v>12.1</v>
      </c>
      <c r="AE40" s="454">
        <v>831370543</v>
      </c>
      <c r="AF40" s="235">
        <v>503749907</v>
      </c>
      <c r="AG40" s="159">
        <v>57182051.081820004</v>
      </c>
      <c r="AH40" s="161">
        <v>413916995</v>
      </c>
      <c r="AI40" s="159">
        <v>10902571</v>
      </c>
      <c r="AJ40" s="161">
        <v>59094786</v>
      </c>
      <c r="AK40" s="159">
        <v>19675155</v>
      </c>
      <c r="AL40" s="161">
        <v>150947</v>
      </c>
      <c r="AM40" s="159">
        <v>6271193</v>
      </c>
      <c r="AN40" s="161">
        <v>113736603</v>
      </c>
      <c r="AO40" s="159">
        <v>100867616</v>
      </c>
      <c r="AP40" s="184">
        <v>724625319</v>
      </c>
      <c r="AQ40" s="161">
        <v>12214939</v>
      </c>
      <c r="AR40" s="159">
        <v>10300724</v>
      </c>
      <c r="AS40" s="161">
        <v>3979337</v>
      </c>
      <c r="AT40" s="159">
        <v>50746191</v>
      </c>
      <c r="AU40" s="161">
        <v>-4022120</v>
      </c>
      <c r="AV40" s="159">
        <v>33526153</v>
      </c>
      <c r="AW40" s="161">
        <v>106745225</v>
      </c>
      <c r="AX40" s="235">
        <v>831370543</v>
      </c>
    </row>
    <row r="41" spans="1:62" s="14" customFormat="1" ht="15" customHeight="1">
      <c r="A41" s="443" t="str">
        <f>'I-2'!A39</f>
        <v>2023.8</v>
      </c>
      <c r="B41" s="451">
        <v>9727080</v>
      </c>
      <c r="C41" s="230">
        <v>1.2</v>
      </c>
      <c r="D41" s="451">
        <v>48156167</v>
      </c>
      <c r="E41" s="451">
        <v>294409007</v>
      </c>
      <c r="F41" s="451">
        <v>61188076</v>
      </c>
      <c r="G41" s="451">
        <v>69816781</v>
      </c>
      <c r="H41" s="159">
        <v>85736473</v>
      </c>
      <c r="I41" s="451">
        <v>6690047</v>
      </c>
      <c r="J41" s="451">
        <v>577588108</v>
      </c>
      <c r="K41" s="231">
        <v>68.8</v>
      </c>
      <c r="L41" s="452">
        <v>122846825</v>
      </c>
      <c r="M41" s="233">
        <v>14.6</v>
      </c>
      <c r="N41" s="159">
        <v>61064230</v>
      </c>
      <c r="O41" s="159">
        <v>35653939</v>
      </c>
      <c r="P41" s="159">
        <v>11590768</v>
      </c>
      <c r="Q41" s="231">
        <v>1.4</v>
      </c>
      <c r="R41" s="159">
        <v>6854695</v>
      </c>
      <c r="S41" s="159">
        <v>4781147</v>
      </c>
      <c r="T41" s="159">
        <v>721752781</v>
      </c>
      <c r="U41" s="231">
        <v>85.9</v>
      </c>
      <c r="V41" s="159">
        <v>219569</v>
      </c>
      <c r="W41" s="451">
        <v>8081307</v>
      </c>
      <c r="X41" s="451">
        <v>1103773</v>
      </c>
      <c r="Y41" s="451">
        <v>373013</v>
      </c>
      <c r="Z41" s="451">
        <v>4855150</v>
      </c>
      <c r="AA41" s="453">
        <v>14632813</v>
      </c>
      <c r="AB41" s="231">
        <v>1.7000000000000002</v>
      </c>
      <c r="AC41" s="453">
        <v>103531591</v>
      </c>
      <c r="AD41" s="234">
        <v>12.3</v>
      </c>
      <c r="AE41" s="454">
        <v>839917184</v>
      </c>
      <c r="AF41" s="235">
        <v>510542394</v>
      </c>
      <c r="AG41" s="159">
        <v>58309727.472819999</v>
      </c>
      <c r="AH41" s="161">
        <v>420225159</v>
      </c>
      <c r="AI41" s="159">
        <v>11134629</v>
      </c>
      <c r="AJ41" s="161">
        <v>59366392</v>
      </c>
      <c r="AK41" s="159">
        <v>19660028</v>
      </c>
      <c r="AL41" s="161">
        <v>142714</v>
      </c>
      <c r="AM41" s="159">
        <v>6392573</v>
      </c>
      <c r="AN41" s="161">
        <v>112750677</v>
      </c>
      <c r="AO41" s="159">
        <v>103642470</v>
      </c>
      <c r="AP41" s="184">
        <v>733328114</v>
      </c>
      <c r="AQ41" s="161">
        <v>12134211</v>
      </c>
      <c r="AR41" s="159">
        <v>10282582</v>
      </c>
      <c r="AS41" s="161">
        <v>3979337</v>
      </c>
      <c r="AT41" s="159">
        <v>50927466</v>
      </c>
      <c r="AU41" s="161">
        <v>-4019216</v>
      </c>
      <c r="AV41" s="159">
        <v>33284689</v>
      </c>
      <c r="AW41" s="161">
        <v>106589070</v>
      </c>
      <c r="AX41" s="235">
        <v>839917184</v>
      </c>
    </row>
    <row r="42" spans="1:62" ht="15" customHeight="1" thickBot="1">
      <c r="A42" s="238"/>
      <c r="B42" s="239"/>
      <c r="C42" s="240"/>
      <c r="D42" s="239"/>
      <c r="E42" s="239"/>
      <c r="F42" s="239"/>
      <c r="G42" s="239"/>
      <c r="H42" s="239"/>
      <c r="I42" s="239"/>
      <c r="J42" s="239"/>
      <c r="K42" s="240"/>
      <c r="L42" s="241"/>
      <c r="M42" s="242"/>
      <c r="N42" s="239"/>
      <c r="O42" s="239"/>
      <c r="P42" s="239"/>
      <c r="Q42" s="240"/>
      <c r="R42" s="239"/>
      <c r="S42" s="239"/>
      <c r="T42" s="239"/>
      <c r="U42" s="240"/>
      <c r="V42" s="239"/>
      <c r="W42" s="239"/>
      <c r="X42" s="239"/>
      <c r="Y42" s="239"/>
      <c r="Z42" s="239"/>
      <c r="AA42" s="243"/>
      <c r="AB42" s="244"/>
      <c r="AC42" s="243"/>
      <c r="AD42" s="244"/>
      <c r="AE42" s="245"/>
      <c r="AF42" s="246"/>
      <c r="AG42" s="239"/>
      <c r="AH42" s="243"/>
      <c r="AI42" s="239"/>
      <c r="AJ42" s="243"/>
      <c r="AK42" s="239"/>
      <c r="AL42" s="243"/>
      <c r="AM42" s="239"/>
      <c r="AN42" s="243"/>
      <c r="AO42" s="239"/>
      <c r="AP42" s="245"/>
      <c r="AQ42" s="243"/>
      <c r="AR42" s="239"/>
      <c r="AS42" s="243"/>
      <c r="AT42" s="239"/>
      <c r="AU42" s="243"/>
      <c r="AV42" s="239"/>
      <c r="AW42" s="243"/>
      <c r="AX42" s="246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</row>
    <row r="43" spans="1:62" ht="15" customHeight="1">
      <c r="A43" s="247"/>
      <c r="B43" s="197"/>
      <c r="C43" s="248"/>
      <c r="D43" s="249"/>
      <c r="E43" s="249"/>
      <c r="F43" s="249"/>
      <c r="G43" s="249"/>
      <c r="H43" s="249"/>
      <c r="I43" s="249"/>
      <c r="J43" s="249"/>
      <c r="K43" s="195"/>
      <c r="L43" s="250"/>
      <c r="M43" s="251"/>
      <c r="N43" s="197"/>
      <c r="O43" s="197"/>
      <c r="P43" s="252"/>
      <c r="Q43" s="248"/>
      <c r="R43" s="253"/>
      <c r="S43" s="253"/>
      <c r="T43" s="253"/>
      <c r="U43" s="249"/>
      <c r="V43" s="253"/>
      <c r="W43" s="253"/>
      <c r="X43" s="252"/>
      <c r="Y43" s="248"/>
      <c r="Z43" s="253"/>
      <c r="AA43" s="197"/>
      <c r="AB43" s="249"/>
      <c r="AC43" s="253"/>
      <c r="AD43" s="254"/>
      <c r="AE43" s="255"/>
      <c r="AF43" s="249"/>
      <c r="AG43" s="249"/>
      <c r="AH43" s="249"/>
      <c r="AI43" s="249"/>
      <c r="AJ43" s="249"/>
      <c r="AK43" s="197"/>
      <c r="AL43" s="249"/>
      <c r="AM43" s="197"/>
      <c r="AN43" s="197"/>
      <c r="AO43" s="197"/>
      <c r="AP43" s="249"/>
      <c r="AQ43" s="197"/>
      <c r="AR43" s="197"/>
      <c r="AS43" s="197"/>
      <c r="AT43" s="197"/>
      <c r="AU43" s="197"/>
      <c r="AV43" s="197"/>
      <c r="AW43" s="197"/>
      <c r="AX43" s="197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</row>
    <row r="44" spans="1:62" ht="15" customHeight="1">
      <c r="A44" s="247"/>
      <c r="B44" s="197"/>
      <c r="C44" s="248"/>
      <c r="D44" s="197"/>
      <c r="E44" s="197"/>
      <c r="F44" s="197"/>
      <c r="G44" s="197"/>
      <c r="H44" s="197"/>
      <c r="I44" s="197"/>
      <c r="J44" s="197"/>
      <c r="K44" s="248"/>
      <c r="L44" s="256"/>
      <c r="M44" s="251"/>
      <c r="N44" s="197"/>
      <c r="O44" s="197"/>
      <c r="P44" s="252"/>
      <c r="Q44" s="248"/>
      <c r="R44" s="253"/>
      <c r="S44" s="253"/>
      <c r="T44" s="253"/>
      <c r="U44" s="197"/>
      <c r="V44" s="253"/>
      <c r="W44" s="253"/>
      <c r="X44" s="252"/>
      <c r="Y44" s="248"/>
      <c r="Z44" s="253"/>
      <c r="AA44" s="197"/>
      <c r="AB44" s="197"/>
      <c r="AC44" s="253"/>
      <c r="AD44" s="254"/>
      <c r="AE44" s="253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</row>
    <row r="45" spans="1:62" ht="15" customHeight="1">
      <c r="A45" s="50"/>
      <c r="B45" s="44"/>
      <c r="D45" s="44"/>
      <c r="E45" s="44"/>
      <c r="F45" s="44"/>
      <c r="G45" s="44"/>
      <c r="H45" s="44"/>
      <c r="I45" s="44"/>
      <c r="J45" s="44"/>
      <c r="P45" s="54"/>
      <c r="Q45" s="51"/>
      <c r="W45" s="14"/>
      <c r="X45" s="14"/>
      <c r="Y45" s="14"/>
      <c r="AA45" s="14"/>
      <c r="AB45" s="87"/>
      <c r="AH45" s="44"/>
      <c r="AI45" s="44"/>
      <c r="AK45" s="44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</row>
    <row r="77" spans="21:50" ht="12.95" customHeight="1">
      <c r="U77" s="54"/>
      <c r="AB77" s="54"/>
      <c r="AD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</row>
    <row r="78" spans="21:50" ht="12.95" customHeight="1">
      <c r="U78" s="54"/>
      <c r="AB78" s="54"/>
      <c r="AD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</row>
    <row r="79" spans="21:50" ht="12.95" customHeight="1">
      <c r="U79" s="54"/>
      <c r="AB79" s="54"/>
      <c r="AD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</row>
    <row r="80" spans="21:50" ht="12.95" customHeight="1">
      <c r="U80" s="54"/>
      <c r="AB80" s="54"/>
      <c r="AD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</row>
    <row r="81" spans="21:50" ht="12.95" customHeight="1">
      <c r="U81" s="54"/>
      <c r="AB81" s="54"/>
      <c r="AD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</row>
    <row r="82" spans="21:50" ht="12.95" customHeight="1">
      <c r="U82" s="54"/>
      <c r="AB82" s="54"/>
      <c r="AD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</row>
    <row r="83" spans="21:50" ht="12.95" customHeight="1">
      <c r="U83" s="54"/>
      <c r="AB83" s="54"/>
      <c r="AD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</row>
    <row r="84" spans="21:50" ht="12.95" customHeight="1">
      <c r="U84" s="54"/>
      <c r="AB84" s="54"/>
      <c r="AD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</row>
    <row r="85" spans="21:50" ht="12.95" customHeight="1">
      <c r="U85" s="54"/>
      <c r="AB85" s="54"/>
      <c r="AD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</row>
    <row r="86" spans="21:50" ht="12.95" customHeight="1">
      <c r="U86" s="54"/>
      <c r="AB86" s="54"/>
      <c r="AD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</row>
    <row r="87" spans="21:50" ht="12.95" customHeight="1">
      <c r="U87" s="54"/>
      <c r="AB87" s="54"/>
      <c r="AD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</row>
    <row r="88" spans="21:50" ht="12.95" customHeight="1">
      <c r="U88" s="54"/>
      <c r="AB88" s="54"/>
      <c r="AD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</row>
    <row r="89" spans="21:50" ht="12.95" customHeight="1">
      <c r="U89" s="54"/>
      <c r="AB89" s="54"/>
      <c r="AD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</row>
    <row r="90" spans="21:50" ht="12.95" customHeight="1">
      <c r="U90" s="54"/>
      <c r="AB90" s="54"/>
      <c r="AD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</row>
    <row r="91" spans="21:50" ht="12.95" customHeight="1">
      <c r="U91" s="54"/>
      <c r="AB91" s="54"/>
      <c r="AD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</row>
    <row r="92" spans="21:50" ht="12.95" customHeight="1">
      <c r="U92" s="54"/>
      <c r="AB92" s="54"/>
      <c r="AD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</row>
    <row r="93" spans="21:50" ht="12.95" customHeight="1">
      <c r="U93" s="54"/>
      <c r="AB93" s="54"/>
      <c r="AD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</row>
    <row r="94" spans="21:50" ht="12.95" customHeight="1">
      <c r="U94" s="54"/>
      <c r="AB94" s="54"/>
      <c r="AD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</row>
    <row r="95" spans="21:50" ht="12.95" customHeight="1">
      <c r="U95" s="54"/>
      <c r="AB95" s="54"/>
      <c r="AD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</row>
    <row r="96" spans="21:50" ht="12.95" customHeight="1">
      <c r="U96" s="54"/>
      <c r="AB96" s="54"/>
      <c r="AD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</row>
    <row r="97" spans="21:50" ht="12.95" customHeight="1">
      <c r="U97" s="54"/>
      <c r="AB97" s="54"/>
      <c r="AD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</row>
    <row r="98" spans="21:50" ht="12.95" customHeight="1">
      <c r="U98" s="54"/>
      <c r="AB98" s="54"/>
      <c r="AD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</row>
    <row r="99" spans="21:50" ht="12.95" customHeight="1">
      <c r="U99" s="54"/>
      <c r="AB99" s="54"/>
      <c r="AD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</row>
    <row r="100" spans="21:50" ht="12.95" customHeight="1">
      <c r="U100" s="54"/>
      <c r="AB100" s="54"/>
      <c r="AD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</row>
    <row r="101" spans="21:50" ht="12.95" customHeight="1">
      <c r="U101" s="54"/>
      <c r="AB101" s="54"/>
      <c r="AD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</row>
    <row r="102" spans="21:50" ht="12.95" customHeight="1">
      <c r="U102" s="54"/>
      <c r="AB102" s="54"/>
      <c r="AD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</row>
    <row r="103" spans="21:50" ht="12.95" customHeight="1">
      <c r="U103" s="54"/>
      <c r="AB103" s="54"/>
      <c r="AD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</row>
    <row r="104" spans="21:50" ht="12.95" customHeight="1">
      <c r="U104" s="54"/>
      <c r="AB104" s="54"/>
      <c r="AD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</row>
    <row r="105" spans="21:50" ht="12.95" customHeight="1">
      <c r="U105" s="54"/>
      <c r="AB105" s="54"/>
      <c r="AD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</row>
    <row r="106" spans="21:50" ht="12.95" customHeight="1">
      <c r="U106" s="54"/>
      <c r="AB106" s="54"/>
      <c r="AD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</row>
    <row r="107" spans="21:50" ht="12.95" customHeight="1">
      <c r="U107" s="54"/>
      <c r="AB107" s="54"/>
      <c r="AD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</row>
    <row r="108" spans="21:50" ht="12.95" customHeight="1">
      <c r="U108" s="54"/>
      <c r="AB108" s="54"/>
      <c r="AD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</row>
    <row r="109" spans="21:50" ht="12.95" customHeight="1">
      <c r="U109" s="54"/>
      <c r="AB109" s="54"/>
      <c r="AD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</row>
    <row r="110" spans="21:50" ht="12.95" customHeight="1">
      <c r="U110" s="54"/>
      <c r="AB110" s="54"/>
      <c r="AD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</row>
    <row r="111" spans="21:50" ht="12.95" customHeight="1">
      <c r="U111" s="54"/>
      <c r="AB111" s="54"/>
      <c r="AD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</row>
    <row r="112" spans="21:50" ht="12.95" customHeight="1">
      <c r="U112" s="54"/>
      <c r="AB112" s="54"/>
      <c r="AD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</row>
    <row r="113" spans="21:50" ht="12.95" customHeight="1">
      <c r="U113" s="54"/>
      <c r="AB113" s="54"/>
      <c r="AD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</row>
    <row r="114" spans="21:50" ht="12.95" customHeight="1">
      <c r="U114" s="54"/>
      <c r="AB114" s="54"/>
      <c r="AD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</row>
    <row r="115" spans="21:50" ht="12.95" customHeight="1">
      <c r="U115" s="54"/>
      <c r="AB115" s="54"/>
      <c r="AD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</row>
  </sheetData>
  <mergeCells count="48">
    <mergeCell ref="AH10:AH12"/>
    <mergeCell ref="AC8:AD11"/>
    <mergeCell ref="H8:H12"/>
    <mergeCell ref="I8:I12"/>
    <mergeCell ref="L8:M11"/>
    <mergeCell ref="P8:Q11"/>
    <mergeCell ref="X8:X12"/>
    <mergeCell ref="R8:R12"/>
    <mergeCell ref="S8:S12"/>
    <mergeCell ref="Y8:Y12"/>
    <mergeCell ref="AG9:AG12"/>
    <mergeCell ref="Z8:Z12"/>
    <mergeCell ref="N8:N12"/>
    <mergeCell ref="AE7:AE12"/>
    <mergeCell ref="AF7:AP7"/>
    <mergeCell ref="AA9:AB11"/>
    <mergeCell ref="AK8:AL8"/>
    <mergeCell ref="AQ8:AQ12"/>
    <mergeCell ref="AH9:AJ9"/>
    <mergeCell ref="A7:A12"/>
    <mergeCell ref="B8:C11"/>
    <mergeCell ref="F8:F12"/>
    <mergeCell ref="G8:G12"/>
    <mergeCell ref="N7:O7"/>
    <mergeCell ref="J9:K11"/>
    <mergeCell ref="D7:K7"/>
    <mergeCell ref="D8:D12"/>
    <mergeCell ref="E8:E12"/>
    <mergeCell ref="O8:O12"/>
    <mergeCell ref="W8:W12"/>
    <mergeCell ref="V8:V12"/>
    <mergeCell ref="T8:U11"/>
    <mergeCell ref="AF8:AF12"/>
    <mergeCell ref="AX7:AX12"/>
    <mergeCell ref="AR8:AR12"/>
    <mergeCell ref="AS8:AS12"/>
    <mergeCell ref="AU8:AU12"/>
    <mergeCell ref="AV8:AV12"/>
    <mergeCell ref="AW8:AW12"/>
    <mergeCell ref="AT8:AT12"/>
    <mergeCell ref="AK10:AK12"/>
    <mergeCell ref="AL10:AL12"/>
    <mergeCell ref="AI10:AI12"/>
    <mergeCell ref="AJ10:AJ12"/>
    <mergeCell ref="AM8:AM12"/>
    <mergeCell ref="AN8:AN12"/>
    <mergeCell ref="AO8:AO12"/>
    <mergeCell ref="AP8:AP12"/>
  </mergeCells>
  <phoneticPr fontId="2" type="noConversion"/>
  <pageMargins left="0.22" right="0.27" top="0.8" bottom="1.41" header="0.5" footer="0.5"/>
  <pageSetup paperSize="9" scale="82" orientation="landscape" r:id="rId1"/>
  <headerFooter alignWithMargins="0"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1"/>
  <sheetViews>
    <sheetView zoomScaleNormal="100" workbookViewId="0">
      <pane xSplit="1" ySplit="11" topLeftCell="B21" activePane="bottomRight" state="frozen"/>
      <selection activeCell="P22" sqref="P22"/>
      <selection pane="topRight" activeCell="P22" sqref="P22"/>
      <selection pane="bottomLeft" activeCell="P22" sqref="P22"/>
      <selection pane="bottomRight" activeCell="B13" sqref="B13:X38"/>
    </sheetView>
  </sheetViews>
  <sheetFormatPr defaultColWidth="8.77734375" defaultRowHeight="12.95" customHeight="1"/>
  <cols>
    <col min="1" max="1" width="14.77734375" style="32" customWidth="1"/>
    <col min="2" max="24" width="11.77734375" style="32" customWidth="1"/>
    <col min="25" max="27" width="2.6640625" style="32" customWidth="1"/>
    <col min="28" max="16384" width="8.77734375" style="32"/>
  </cols>
  <sheetData>
    <row r="1" spans="1:25" ht="15" customHeight="1">
      <c r="C1" s="43"/>
      <c r="D1" s="43"/>
      <c r="L1" s="43"/>
      <c r="M1" s="43"/>
      <c r="N1" s="43"/>
    </row>
    <row r="2" spans="1:25" ht="15" customHeight="1">
      <c r="A2" s="19" t="s">
        <v>80</v>
      </c>
      <c r="C2" s="43"/>
      <c r="D2" s="43"/>
      <c r="L2" s="43"/>
    </row>
    <row r="3" spans="1:25" s="39" customFormat="1" ht="15" customHeight="1">
      <c r="A3" s="45" t="s">
        <v>261</v>
      </c>
      <c r="B3" s="45"/>
      <c r="C3" s="110"/>
      <c r="D3" s="461"/>
      <c r="L3" s="461"/>
    </row>
    <row r="4" spans="1:25" ht="15" customHeight="1">
      <c r="C4" s="43"/>
      <c r="D4" s="43"/>
      <c r="L4" s="43"/>
      <c r="M4" s="43"/>
      <c r="N4" s="43"/>
    </row>
    <row r="5" spans="1:25" ht="15" customHeight="1">
      <c r="C5" s="43"/>
      <c r="D5" s="43"/>
      <c r="L5" s="43"/>
      <c r="M5" s="43"/>
      <c r="N5" s="43"/>
    </row>
    <row r="6" spans="1:25" ht="15" customHeight="1" thickBot="1">
      <c r="A6" s="177" t="s">
        <v>295</v>
      </c>
      <c r="B6" s="177"/>
      <c r="C6" s="196"/>
      <c r="D6" s="175"/>
      <c r="E6" s="8"/>
      <c r="F6" s="8"/>
      <c r="G6" s="196"/>
      <c r="H6" s="8"/>
      <c r="I6" s="8"/>
      <c r="J6" s="8"/>
      <c r="K6" s="8"/>
      <c r="L6" s="175"/>
      <c r="M6" s="8"/>
      <c r="N6" s="8"/>
      <c r="O6" s="8"/>
      <c r="P6" s="8"/>
      <c r="Q6" s="8"/>
      <c r="R6" s="8"/>
      <c r="S6" s="8"/>
      <c r="T6" s="175"/>
      <c r="U6" s="8"/>
      <c r="V6" s="8"/>
      <c r="W6" s="8"/>
      <c r="X6" s="462" t="s">
        <v>81</v>
      </c>
      <c r="Y6" s="43"/>
    </row>
    <row r="7" spans="1:25" s="465" customFormat="1" ht="15" customHeight="1">
      <c r="A7" s="463"/>
      <c r="B7" s="506" t="s">
        <v>262</v>
      </c>
      <c r="C7" s="507"/>
      <c r="D7" s="507"/>
      <c r="E7" s="507"/>
      <c r="F7" s="507"/>
      <c r="G7" s="507"/>
      <c r="H7" s="507"/>
      <c r="I7" s="507"/>
      <c r="J7" s="507"/>
      <c r="K7" s="507"/>
      <c r="L7" s="507"/>
      <c r="M7" s="507"/>
      <c r="N7" s="508"/>
      <c r="O7" s="506" t="s">
        <v>263</v>
      </c>
      <c r="P7" s="507"/>
      <c r="Q7" s="507"/>
      <c r="R7" s="507"/>
      <c r="S7" s="507"/>
      <c r="T7" s="508"/>
      <c r="U7" s="506" t="s">
        <v>264</v>
      </c>
      <c r="V7" s="508"/>
      <c r="W7" s="574" t="s">
        <v>265</v>
      </c>
      <c r="X7" s="565" t="s">
        <v>266</v>
      </c>
      <c r="Y7" s="464"/>
    </row>
    <row r="8" spans="1:25" s="465" customFormat="1" ht="15" customHeight="1">
      <c r="A8" s="466"/>
      <c r="B8" s="538" t="s">
        <v>267</v>
      </c>
      <c r="C8" s="549"/>
      <c r="D8" s="549"/>
      <c r="E8" s="549"/>
      <c r="F8" s="549"/>
      <c r="G8" s="550"/>
      <c r="H8" s="538" t="s">
        <v>48</v>
      </c>
      <c r="I8" s="549"/>
      <c r="J8" s="549"/>
      <c r="K8" s="550"/>
      <c r="L8" s="567" t="s">
        <v>268</v>
      </c>
      <c r="M8" s="567" t="s">
        <v>269</v>
      </c>
      <c r="N8" s="567" t="s">
        <v>290</v>
      </c>
      <c r="O8" s="538" t="s">
        <v>122</v>
      </c>
      <c r="P8" s="549"/>
      <c r="Q8" s="550"/>
      <c r="R8" s="538" t="s">
        <v>270</v>
      </c>
      <c r="S8" s="549"/>
      <c r="T8" s="550"/>
      <c r="U8" s="569" t="s">
        <v>271</v>
      </c>
      <c r="V8" s="567" t="s">
        <v>272</v>
      </c>
      <c r="W8" s="568"/>
      <c r="X8" s="566"/>
      <c r="Y8" s="464"/>
    </row>
    <row r="9" spans="1:25" s="465" customFormat="1" ht="15" customHeight="1">
      <c r="A9" s="466"/>
      <c r="B9" s="567" t="s">
        <v>273</v>
      </c>
      <c r="C9" s="567" t="s">
        <v>274</v>
      </c>
      <c r="D9" s="567" t="s">
        <v>275</v>
      </c>
      <c r="E9" s="567" t="s">
        <v>276</v>
      </c>
      <c r="F9" s="567" t="s">
        <v>88</v>
      </c>
      <c r="G9" s="567" t="s">
        <v>33</v>
      </c>
      <c r="H9" s="569" t="s">
        <v>277</v>
      </c>
      <c r="I9" s="567" t="s">
        <v>278</v>
      </c>
      <c r="J9" s="567" t="s">
        <v>88</v>
      </c>
      <c r="K9" s="567" t="s">
        <v>33</v>
      </c>
      <c r="L9" s="568"/>
      <c r="M9" s="568"/>
      <c r="N9" s="568"/>
      <c r="O9" s="567" t="s">
        <v>279</v>
      </c>
      <c r="P9" s="567" t="s">
        <v>88</v>
      </c>
      <c r="Q9" s="567" t="s">
        <v>33</v>
      </c>
      <c r="R9" s="567" t="s">
        <v>280</v>
      </c>
      <c r="S9" s="567" t="s">
        <v>88</v>
      </c>
      <c r="T9" s="567" t="s">
        <v>33</v>
      </c>
      <c r="U9" s="570"/>
      <c r="V9" s="568"/>
      <c r="W9" s="568"/>
      <c r="X9" s="566"/>
      <c r="Y9" s="464"/>
    </row>
    <row r="10" spans="1:25" s="465" customFormat="1" ht="15" customHeight="1">
      <c r="A10" s="466"/>
      <c r="B10" s="568"/>
      <c r="C10" s="568"/>
      <c r="D10" s="568"/>
      <c r="E10" s="568"/>
      <c r="F10" s="568"/>
      <c r="G10" s="568"/>
      <c r="H10" s="570"/>
      <c r="I10" s="568"/>
      <c r="J10" s="568"/>
      <c r="K10" s="568"/>
      <c r="L10" s="568"/>
      <c r="M10" s="568"/>
      <c r="N10" s="568"/>
      <c r="O10" s="568"/>
      <c r="P10" s="568"/>
      <c r="Q10" s="568"/>
      <c r="R10" s="568"/>
      <c r="S10" s="568"/>
      <c r="T10" s="568"/>
      <c r="U10" s="570"/>
      <c r="V10" s="568"/>
      <c r="W10" s="568"/>
      <c r="X10" s="566"/>
      <c r="Y10" s="464"/>
    </row>
    <row r="11" spans="1:25" s="465" customFormat="1" ht="15" customHeight="1">
      <c r="A11" s="466"/>
      <c r="B11" s="568"/>
      <c r="C11" s="571"/>
      <c r="D11" s="571"/>
      <c r="E11" s="571"/>
      <c r="F11" s="568"/>
      <c r="G11" s="568"/>
      <c r="H11" s="572"/>
      <c r="I11" s="571"/>
      <c r="J11" s="568"/>
      <c r="K11" s="568"/>
      <c r="L11" s="568"/>
      <c r="M11" s="568"/>
      <c r="N11" s="573"/>
      <c r="O11" s="571"/>
      <c r="P11" s="568"/>
      <c r="Q11" s="568"/>
      <c r="R11" s="571"/>
      <c r="S11" s="568"/>
      <c r="T11" s="568"/>
      <c r="U11" s="570"/>
      <c r="V11" s="568"/>
      <c r="W11" s="568"/>
      <c r="X11" s="566"/>
      <c r="Y11" s="464"/>
    </row>
    <row r="12" spans="1:25" ht="15" customHeight="1">
      <c r="A12" s="467"/>
      <c r="B12" s="468"/>
      <c r="C12" s="264"/>
      <c r="D12" s="18"/>
      <c r="E12" s="158"/>
      <c r="F12" s="262"/>
      <c r="G12" s="265"/>
      <c r="H12" s="18"/>
      <c r="I12" s="158"/>
      <c r="J12" s="18"/>
      <c r="K12" s="158"/>
      <c r="L12" s="262"/>
      <c r="M12" s="265"/>
      <c r="N12" s="265"/>
      <c r="O12" s="262"/>
      <c r="P12" s="265"/>
      <c r="Q12" s="262"/>
      <c r="R12" s="265"/>
      <c r="S12" s="469"/>
      <c r="T12" s="470"/>
      <c r="U12" s="469"/>
      <c r="V12" s="470"/>
      <c r="W12" s="262"/>
      <c r="X12" s="266"/>
    </row>
    <row r="13" spans="1:25" s="59" customFormat="1" ht="15" customHeight="1">
      <c r="A13" s="158" t="s">
        <v>35</v>
      </c>
      <c r="B13" s="18">
        <v>3438764</v>
      </c>
      <c r="C13" s="158">
        <v>1723947</v>
      </c>
      <c r="D13" s="183">
        <v>455991</v>
      </c>
      <c r="E13" s="160">
        <v>92337</v>
      </c>
      <c r="F13" s="183">
        <v>668341</v>
      </c>
      <c r="G13" s="160">
        <v>498147</v>
      </c>
      <c r="H13" s="183">
        <v>2758462</v>
      </c>
      <c r="I13" s="471">
        <v>1733555</v>
      </c>
      <c r="J13" s="472">
        <v>466778</v>
      </c>
      <c r="K13" s="471">
        <v>558129</v>
      </c>
      <c r="L13" s="472">
        <v>174940</v>
      </c>
      <c r="M13" s="160">
        <v>179780</v>
      </c>
      <c r="N13" s="160">
        <v>110924</v>
      </c>
      <c r="O13" s="183">
        <v>6253018</v>
      </c>
      <c r="P13" s="160">
        <v>566</v>
      </c>
      <c r="Q13" s="183">
        <v>6252451</v>
      </c>
      <c r="R13" s="160">
        <v>6153939</v>
      </c>
      <c r="S13" s="183">
        <v>2519057</v>
      </c>
      <c r="T13" s="160">
        <v>3634882</v>
      </c>
      <c r="U13" s="183">
        <v>12855</v>
      </c>
      <c r="V13" s="160">
        <v>5575</v>
      </c>
      <c r="W13" s="183">
        <v>93006</v>
      </c>
      <c r="X13" s="267">
        <v>577893</v>
      </c>
    </row>
    <row r="14" spans="1:25" s="59" customFormat="1" ht="15" customHeight="1">
      <c r="A14" s="158" t="s">
        <v>4</v>
      </c>
      <c r="B14" s="18">
        <v>494992</v>
      </c>
      <c r="C14" s="158">
        <v>266921</v>
      </c>
      <c r="D14" s="183">
        <v>68032</v>
      </c>
      <c r="E14" s="160">
        <v>11720</v>
      </c>
      <c r="F14" s="183">
        <v>75180</v>
      </c>
      <c r="G14" s="160">
        <v>73140</v>
      </c>
      <c r="H14" s="183">
        <v>433027</v>
      </c>
      <c r="I14" s="471">
        <v>280825</v>
      </c>
      <c r="J14" s="472">
        <v>76371</v>
      </c>
      <c r="K14" s="471">
        <v>75832</v>
      </c>
      <c r="L14" s="472">
        <v>33801</v>
      </c>
      <c r="M14" s="160">
        <v>43257</v>
      </c>
      <c r="N14" s="160">
        <v>16894</v>
      </c>
      <c r="O14" s="183">
        <v>1053378</v>
      </c>
      <c r="P14" s="160">
        <v>-2154</v>
      </c>
      <c r="Q14" s="183">
        <v>1055532</v>
      </c>
      <c r="R14" s="160">
        <v>1014900</v>
      </c>
      <c r="S14" s="183">
        <v>497054</v>
      </c>
      <c r="T14" s="160">
        <v>517846</v>
      </c>
      <c r="U14" s="183">
        <v>444</v>
      </c>
      <c r="V14" s="160">
        <v>24353</v>
      </c>
      <c r="W14" s="183">
        <v>12649</v>
      </c>
      <c r="X14" s="267">
        <v>37534</v>
      </c>
    </row>
    <row r="15" spans="1:25" s="59" customFormat="1" ht="15" customHeight="1">
      <c r="A15" s="158" t="s">
        <v>206</v>
      </c>
      <c r="B15" s="18">
        <v>6295962</v>
      </c>
      <c r="C15" s="158">
        <v>3342664</v>
      </c>
      <c r="D15" s="183">
        <v>1288759</v>
      </c>
      <c r="E15" s="160">
        <v>387159</v>
      </c>
      <c r="F15" s="183">
        <v>987090</v>
      </c>
      <c r="G15" s="160">
        <v>290290</v>
      </c>
      <c r="H15" s="183">
        <v>5032457</v>
      </c>
      <c r="I15" s="471">
        <v>3293398</v>
      </c>
      <c r="J15" s="472">
        <v>1407451</v>
      </c>
      <c r="K15" s="471">
        <v>331608</v>
      </c>
      <c r="L15" s="472">
        <v>98052</v>
      </c>
      <c r="M15" s="160">
        <v>117806</v>
      </c>
      <c r="N15" s="160">
        <v>37686</v>
      </c>
      <c r="O15" s="183">
        <v>12538587</v>
      </c>
      <c r="P15" s="160">
        <v>1022497</v>
      </c>
      <c r="Q15" s="183">
        <v>11516090</v>
      </c>
      <c r="R15" s="160">
        <v>12414734</v>
      </c>
      <c r="S15" s="183">
        <v>6987408</v>
      </c>
      <c r="T15" s="160">
        <v>5427326</v>
      </c>
      <c r="U15" s="183">
        <v>173091</v>
      </c>
      <c r="V15" s="160">
        <v>156385</v>
      </c>
      <c r="W15" s="183">
        <v>220561</v>
      </c>
      <c r="X15" s="267">
        <v>1126063</v>
      </c>
    </row>
    <row r="16" spans="1:25" s="59" customFormat="1" ht="15" customHeight="1">
      <c r="A16" s="158" t="s">
        <v>207</v>
      </c>
      <c r="B16" s="18">
        <v>694518</v>
      </c>
      <c r="C16" s="158">
        <v>313750</v>
      </c>
      <c r="D16" s="183">
        <v>86052</v>
      </c>
      <c r="E16" s="160">
        <v>36589</v>
      </c>
      <c r="F16" s="183">
        <v>153051</v>
      </c>
      <c r="G16" s="160">
        <v>105076</v>
      </c>
      <c r="H16" s="183">
        <v>582813</v>
      </c>
      <c r="I16" s="471">
        <v>332898</v>
      </c>
      <c r="J16" s="472">
        <v>99260</v>
      </c>
      <c r="K16" s="471">
        <v>150655</v>
      </c>
      <c r="L16" s="472">
        <v>34629</v>
      </c>
      <c r="M16" s="160">
        <v>31896</v>
      </c>
      <c r="N16" s="160">
        <v>15223</v>
      </c>
      <c r="O16" s="183">
        <v>1235081</v>
      </c>
      <c r="P16" s="160">
        <v>-3138</v>
      </c>
      <c r="Q16" s="183">
        <v>1238219</v>
      </c>
      <c r="R16" s="160">
        <v>1220204</v>
      </c>
      <c r="S16" s="183">
        <v>589137</v>
      </c>
      <c r="T16" s="160">
        <v>631067</v>
      </c>
      <c r="U16" s="183">
        <v>2836</v>
      </c>
      <c r="V16" s="160">
        <v>2726</v>
      </c>
      <c r="W16" s="183">
        <v>26924</v>
      </c>
      <c r="X16" s="267">
        <v>87278</v>
      </c>
    </row>
    <row r="17" spans="1:24" s="59" customFormat="1" ht="15" customHeight="1">
      <c r="A17" s="158" t="s">
        <v>208</v>
      </c>
      <c r="B17" s="18">
        <v>2742682</v>
      </c>
      <c r="C17" s="158">
        <v>1450269</v>
      </c>
      <c r="D17" s="183">
        <v>778692</v>
      </c>
      <c r="E17" s="160">
        <v>102174</v>
      </c>
      <c r="F17" s="183">
        <v>303820</v>
      </c>
      <c r="G17" s="160">
        <v>107727</v>
      </c>
      <c r="H17" s="183">
        <v>2530495</v>
      </c>
      <c r="I17" s="471">
        <v>1423480</v>
      </c>
      <c r="J17" s="472">
        <v>780926</v>
      </c>
      <c r="K17" s="471">
        <v>326090</v>
      </c>
      <c r="L17" s="472">
        <v>22216</v>
      </c>
      <c r="M17" s="160">
        <v>19777</v>
      </c>
      <c r="N17" s="160">
        <v>26711</v>
      </c>
      <c r="O17" s="183">
        <v>6677690</v>
      </c>
      <c r="P17" s="160">
        <v>1573</v>
      </c>
      <c r="Q17" s="183">
        <v>6676117</v>
      </c>
      <c r="R17" s="160">
        <v>6061876</v>
      </c>
      <c r="S17" s="183">
        <v>2524540</v>
      </c>
      <c r="T17" s="160">
        <v>3537335</v>
      </c>
      <c r="U17" s="183">
        <v>24180</v>
      </c>
      <c r="V17" s="160">
        <v>19328</v>
      </c>
      <c r="W17" s="183">
        <v>205722</v>
      </c>
      <c r="X17" s="267">
        <v>602859</v>
      </c>
    </row>
    <row r="18" spans="1:24" s="59" customFormat="1" ht="15" customHeight="1">
      <c r="A18" s="158" t="s">
        <v>8</v>
      </c>
      <c r="B18" s="18">
        <v>183761</v>
      </c>
      <c r="C18" s="158">
        <v>63087</v>
      </c>
      <c r="D18" s="183">
        <v>18166</v>
      </c>
      <c r="E18" s="160">
        <v>4342</v>
      </c>
      <c r="F18" s="183">
        <v>43703</v>
      </c>
      <c r="G18" s="160">
        <v>54463</v>
      </c>
      <c r="H18" s="183">
        <v>115286</v>
      </c>
      <c r="I18" s="471">
        <v>59108</v>
      </c>
      <c r="J18" s="472">
        <v>19927</v>
      </c>
      <c r="K18" s="471">
        <v>36250</v>
      </c>
      <c r="L18" s="472">
        <v>32083</v>
      </c>
      <c r="M18" s="160">
        <v>28414</v>
      </c>
      <c r="N18" s="160">
        <v>12615</v>
      </c>
      <c r="O18" s="183">
        <v>416309</v>
      </c>
      <c r="P18" s="160">
        <v>23202</v>
      </c>
      <c r="Q18" s="183">
        <v>393108</v>
      </c>
      <c r="R18" s="160">
        <v>403538</v>
      </c>
      <c r="S18" s="183">
        <v>192157</v>
      </c>
      <c r="T18" s="160">
        <v>211381</v>
      </c>
      <c r="U18" s="183">
        <v>851</v>
      </c>
      <c r="V18" s="160">
        <v>6885</v>
      </c>
      <c r="W18" s="183">
        <v>11246</v>
      </c>
      <c r="X18" s="267">
        <v>55022</v>
      </c>
    </row>
    <row r="19" spans="1:24" s="59" customFormat="1" ht="15" customHeight="1">
      <c r="A19" s="158" t="s">
        <v>209</v>
      </c>
      <c r="B19" s="18">
        <v>676812</v>
      </c>
      <c r="C19" s="158">
        <v>325963</v>
      </c>
      <c r="D19" s="183">
        <v>71686</v>
      </c>
      <c r="E19" s="160">
        <v>35157</v>
      </c>
      <c r="F19" s="183">
        <v>148366</v>
      </c>
      <c r="G19" s="160">
        <v>95640</v>
      </c>
      <c r="H19" s="183">
        <v>515344</v>
      </c>
      <c r="I19" s="471">
        <v>317636</v>
      </c>
      <c r="J19" s="472">
        <v>65491</v>
      </c>
      <c r="K19" s="471">
        <v>132217</v>
      </c>
      <c r="L19" s="472">
        <v>15183</v>
      </c>
      <c r="M19" s="160">
        <v>16733</v>
      </c>
      <c r="N19" s="160">
        <v>48312</v>
      </c>
      <c r="O19" s="183">
        <v>2798236</v>
      </c>
      <c r="P19" s="160">
        <v>350130</v>
      </c>
      <c r="Q19" s="183">
        <v>2448106</v>
      </c>
      <c r="R19" s="160">
        <v>2701461</v>
      </c>
      <c r="S19" s="183">
        <v>1801958</v>
      </c>
      <c r="T19" s="160">
        <v>899503</v>
      </c>
      <c r="U19" s="183">
        <v>4957</v>
      </c>
      <c r="V19" s="160">
        <v>8442</v>
      </c>
      <c r="W19" s="183">
        <v>45664</v>
      </c>
      <c r="X19" s="267">
        <v>159231</v>
      </c>
    </row>
    <row r="20" spans="1:24" s="59" customFormat="1" ht="15" customHeight="1">
      <c r="A20" s="158" t="s">
        <v>10</v>
      </c>
      <c r="B20" s="18">
        <v>357041</v>
      </c>
      <c r="C20" s="158">
        <v>205130</v>
      </c>
      <c r="D20" s="183">
        <v>76859</v>
      </c>
      <c r="E20" s="160">
        <v>12639</v>
      </c>
      <c r="F20" s="183">
        <v>35250</v>
      </c>
      <c r="G20" s="160">
        <v>27164</v>
      </c>
      <c r="H20" s="183">
        <v>361521</v>
      </c>
      <c r="I20" s="471">
        <v>205989</v>
      </c>
      <c r="J20" s="472">
        <v>77633</v>
      </c>
      <c r="K20" s="471">
        <v>77900</v>
      </c>
      <c r="L20" s="472">
        <v>48499</v>
      </c>
      <c r="M20" s="160">
        <v>30140</v>
      </c>
      <c r="N20" s="160">
        <v>9242</v>
      </c>
      <c r="O20" s="183">
        <v>776368</v>
      </c>
      <c r="P20" s="160">
        <v>35861</v>
      </c>
      <c r="Q20" s="183">
        <v>740507</v>
      </c>
      <c r="R20" s="160">
        <v>782396</v>
      </c>
      <c r="S20" s="183">
        <v>458382</v>
      </c>
      <c r="T20" s="160">
        <v>324014</v>
      </c>
      <c r="U20" s="183">
        <v>1696</v>
      </c>
      <c r="V20" s="160">
        <v>18213</v>
      </c>
      <c r="W20" s="473">
        <v>0</v>
      </c>
      <c r="X20" s="474">
        <v>-17908</v>
      </c>
    </row>
    <row r="21" spans="1:24" s="59" customFormat="1" ht="15" customHeight="1">
      <c r="A21" s="158" t="s">
        <v>11</v>
      </c>
      <c r="B21" s="18">
        <v>467860</v>
      </c>
      <c r="C21" s="158">
        <v>172819</v>
      </c>
      <c r="D21" s="183">
        <v>67317</v>
      </c>
      <c r="E21" s="160">
        <v>11006</v>
      </c>
      <c r="F21" s="183">
        <v>102186</v>
      </c>
      <c r="G21" s="160">
        <v>114531</v>
      </c>
      <c r="H21" s="183">
        <v>374242</v>
      </c>
      <c r="I21" s="471">
        <v>212961</v>
      </c>
      <c r="J21" s="472">
        <v>70734</v>
      </c>
      <c r="K21" s="471">
        <v>90547</v>
      </c>
      <c r="L21" s="472">
        <v>32088</v>
      </c>
      <c r="M21" s="160">
        <v>32391</v>
      </c>
      <c r="N21" s="160">
        <v>9272</v>
      </c>
      <c r="O21" s="183">
        <v>667304</v>
      </c>
      <c r="P21" s="160">
        <v>62237</v>
      </c>
      <c r="Q21" s="183">
        <v>605067</v>
      </c>
      <c r="R21" s="160">
        <v>603054</v>
      </c>
      <c r="S21" s="183">
        <v>263093</v>
      </c>
      <c r="T21" s="160">
        <v>339961</v>
      </c>
      <c r="U21" s="183">
        <v>525</v>
      </c>
      <c r="V21" s="160">
        <v>2349</v>
      </c>
      <c r="W21" s="473">
        <v>31373</v>
      </c>
      <c r="X21" s="474">
        <v>115095</v>
      </c>
    </row>
    <row r="22" spans="1:24" s="59" customFormat="1" ht="15" customHeight="1">
      <c r="A22" s="158" t="s">
        <v>210</v>
      </c>
      <c r="B22" s="18">
        <v>824909</v>
      </c>
      <c r="C22" s="158">
        <v>388646</v>
      </c>
      <c r="D22" s="183">
        <v>133356</v>
      </c>
      <c r="E22" s="160">
        <v>33860</v>
      </c>
      <c r="F22" s="183">
        <v>194987</v>
      </c>
      <c r="G22" s="160">
        <v>74060</v>
      </c>
      <c r="H22" s="183">
        <v>624537</v>
      </c>
      <c r="I22" s="471">
        <v>379713</v>
      </c>
      <c r="J22" s="472">
        <v>131710</v>
      </c>
      <c r="K22" s="471">
        <v>113114</v>
      </c>
      <c r="L22" s="472">
        <v>17545</v>
      </c>
      <c r="M22" s="160">
        <v>14832</v>
      </c>
      <c r="N22" s="160">
        <v>19646</v>
      </c>
      <c r="O22" s="183">
        <v>1620706</v>
      </c>
      <c r="P22" s="160">
        <v>616</v>
      </c>
      <c r="Q22" s="183">
        <v>1620090</v>
      </c>
      <c r="R22" s="160">
        <v>1529518</v>
      </c>
      <c r="S22" s="183">
        <v>755002</v>
      </c>
      <c r="T22" s="160">
        <v>774516</v>
      </c>
      <c r="U22" s="183">
        <v>1057</v>
      </c>
      <c r="V22" s="160">
        <v>1279</v>
      </c>
      <c r="W22" s="473">
        <v>56913</v>
      </c>
      <c r="X22" s="474">
        <v>217494</v>
      </c>
    </row>
    <row r="23" spans="1:24" s="59" customFormat="1" ht="15" customHeight="1">
      <c r="A23" s="158" t="s">
        <v>211</v>
      </c>
      <c r="B23" s="18">
        <v>669570</v>
      </c>
      <c r="C23" s="158">
        <v>198295</v>
      </c>
      <c r="D23" s="183">
        <v>104874</v>
      </c>
      <c r="E23" s="160">
        <v>23604</v>
      </c>
      <c r="F23" s="183">
        <v>152424</v>
      </c>
      <c r="G23" s="160">
        <v>190371</v>
      </c>
      <c r="H23" s="183">
        <v>477293</v>
      </c>
      <c r="I23" s="471">
        <v>192317</v>
      </c>
      <c r="J23" s="472">
        <v>93675</v>
      </c>
      <c r="K23" s="471">
        <v>191301</v>
      </c>
      <c r="L23" s="472">
        <v>7223</v>
      </c>
      <c r="M23" s="160">
        <v>12589</v>
      </c>
      <c r="N23" s="160">
        <v>8094</v>
      </c>
      <c r="O23" s="183">
        <v>2136029</v>
      </c>
      <c r="P23" s="160">
        <v>-915</v>
      </c>
      <c r="Q23" s="183">
        <v>2136944</v>
      </c>
      <c r="R23" s="160">
        <v>2037911</v>
      </c>
      <c r="S23" s="183">
        <v>1082476</v>
      </c>
      <c r="T23" s="160">
        <v>955435</v>
      </c>
      <c r="U23" s="183">
        <v>848</v>
      </c>
      <c r="V23" s="160">
        <v>-518</v>
      </c>
      <c r="W23" s="473">
        <v>56472</v>
      </c>
      <c r="X23" s="474">
        <v>221829</v>
      </c>
    </row>
    <row r="24" spans="1:24" s="59" customFormat="1" ht="15" customHeight="1">
      <c r="A24" s="158" t="s">
        <v>27</v>
      </c>
      <c r="B24" s="18">
        <v>566025</v>
      </c>
      <c r="C24" s="158">
        <v>179207</v>
      </c>
      <c r="D24" s="183">
        <v>127550</v>
      </c>
      <c r="E24" s="160">
        <v>24345</v>
      </c>
      <c r="F24" s="183">
        <v>213050</v>
      </c>
      <c r="G24" s="160">
        <v>21873</v>
      </c>
      <c r="H24" s="183">
        <v>332037</v>
      </c>
      <c r="I24" s="471">
        <v>165917</v>
      </c>
      <c r="J24" s="472">
        <v>130417</v>
      </c>
      <c r="K24" s="471">
        <v>35703</v>
      </c>
      <c r="L24" s="472">
        <v>4043</v>
      </c>
      <c r="M24" s="160">
        <v>6764</v>
      </c>
      <c r="N24" s="160">
        <v>24190</v>
      </c>
      <c r="O24" s="183">
        <v>1587366</v>
      </c>
      <c r="P24" s="160">
        <v>161082</v>
      </c>
      <c r="Q24" s="183">
        <v>1426284</v>
      </c>
      <c r="R24" s="160">
        <v>1397487</v>
      </c>
      <c r="S24" s="183">
        <v>925182</v>
      </c>
      <c r="T24" s="160">
        <v>472305</v>
      </c>
      <c r="U24" s="183">
        <v>1628</v>
      </c>
      <c r="V24" s="160">
        <v>2333</v>
      </c>
      <c r="W24" s="473">
        <v>99378</v>
      </c>
      <c r="X24" s="474">
        <v>296874</v>
      </c>
    </row>
    <row r="25" spans="1:24" s="59" customFormat="1" ht="15" customHeight="1">
      <c r="A25" s="162" t="s">
        <v>23</v>
      </c>
      <c r="B25" s="18">
        <v>1953132</v>
      </c>
      <c r="C25" s="158">
        <v>923420</v>
      </c>
      <c r="D25" s="183">
        <v>251361</v>
      </c>
      <c r="E25" s="160">
        <v>87052</v>
      </c>
      <c r="F25" s="183">
        <v>517111</v>
      </c>
      <c r="G25" s="160">
        <v>174188</v>
      </c>
      <c r="H25" s="183">
        <v>1337990</v>
      </c>
      <c r="I25" s="471">
        <v>870328</v>
      </c>
      <c r="J25" s="472">
        <v>235151</v>
      </c>
      <c r="K25" s="471">
        <v>232511</v>
      </c>
      <c r="L25" s="472">
        <v>31412</v>
      </c>
      <c r="M25" s="160">
        <v>53504</v>
      </c>
      <c r="N25" s="160">
        <v>97692</v>
      </c>
      <c r="O25" s="183">
        <v>2699813</v>
      </c>
      <c r="P25" s="160">
        <v>302865</v>
      </c>
      <c r="Q25" s="183">
        <v>2396949</v>
      </c>
      <c r="R25" s="160">
        <v>2612227</v>
      </c>
      <c r="S25" s="183">
        <v>1749065</v>
      </c>
      <c r="T25" s="160">
        <v>863162</v>
      </c>
      <c r="U25" s="183">
        <v>1192</v>
      </c>
      <c r="V25" s="160">
        <v>7438</v>
      </c>
      <c r="W25" s="473">
        <v>146367</v>
      </c>
      <c r="X25" s="474">
        <v>430331</v>
      </c>
    </row>
    <row r="26" spans="1:24" s="59" customFormat="1" ht="15" customHeight="1">
      <c r="A26" s="158" t="s">
        <v>212</v>
      </c>
      <c r="B26" s="18">
        <v>47568</v>
      </c>
      <c r="C26" s="158">
        <v>21019</v>
      </c>
      <c r="D26" s="183">
        <v>8933</v>
      </c>
      <c r="E26" s="160">
        <v>1781</v>
      </c>
      <c r="F26" s="183">
        <v>9534</v>
      </c>
      <c r="G26" s="160">
        <v>6302</v>
      </c>
      <c r="H26" s="183">
        <v>40283</v>
      </c>
      <c r="I26" s="471">
        <v>19758</v>
      </c>
      <c r="J26" s="472">
        <v>8782</v>
      </c>
      <c r="K26" s="471">
        <v>11743</v>
      </c>
      <c r="L26" s="472">
        <v>2667</v>
      </c>
      <c r="M26" s="160">
        <v>3031</v>
      </c>
      <c r="N26" s="160">
        <v>5117</v>
      </c>
      <c r="O26" s="183">
        <v>88783</v>
      </c>
      <c r="P26" s="160">
        <v>0</v>
      </c>
      <c r="Q26" s="183">
        <v>88783</v>
      </c>
      <c r="R26" s="160">
        <v>67438</v>
      </c>
      <c r="S26" s="183">
        <v>37648</v>
      </c>
      <c r="T26" s="160">
        <v>29789</v>
      </c>
      <c r="U26" s="183">
        <v>76</v>
      </c>
      <c r="V26" s="160">
        <v>73</v>
      </c>
      <c r="W26" s="473">
        <v>257</v>
      </c>
      <c r="X26" s="474">
        <v>22896</v>
      </c>
    </row>
    <row r="27" spans="1:24" s="59" customFormat="1" ht="15" customHeight="1">
      <c r="A27" s="158" t="s">
        <v>213</v>
      </c>
      <c r="B27" s="18">
        <v>63754</v>
      </c>
      <c r="C27" s="158">
        <v>11971</v>
      </c>
      <c r="D27" s="183">
        <v>19925</v>
      </c>
      <c r="E27" s="160">
        <v>1981</v>
      </c>
      <c r="F27" s="183">
        <v>19080</v>
      </c>
      <c r="G27" s="160">
        <v>10798</v>
      </c>
      <c r="H27" s="183">
        <v>49516</v>
      </c>
      <c r="I27" s="471">
        <v>12617</v>
      </c>
      <c r="J27" s="472">
        <v>24341</v>
      </c>
      <c r="K27" s="471">
        <v>12558</v>
      </c>
      <c r="L27" s="472">
        <v>8893</v>
      </c>
      <c r="M27" s="160">
        <v>7440</v>
      </c>
      <c r="N27" s="160">
        <v>10655</v>
      </c>
      <c r="O27" s="183">
        <v>490914</v>
      </c>
      <c r="P27" s="160">
        <v>8447</v>
      </c>
      <c r="Q27" s="183">
        <v>482467</v>
      </c>
      <c r="R27" s="160">
        <v>469360</v>
      </c>
      <c r="S27" s="183">
        <v>211900</v>
      </c>
      <c r="T27" s="160">
        <v>257460</v>
      </c>
      <c r="U27" s="183">
        <v>936</v>
      </c>
      <c r="V27" s="160">
        <v>821</v>
      </c>
      <c r="W27" s="473">
        <v>9750</v>
      </c>
      <c r="X27" s="474">
        <v>16957</v>
      </c>
    </row>
    <row r="28" spans="1:24" s="59" customFormat="1" ht="15" customHeight="1">
      <c r="A28" s="158" t="s">
        <v>214</v>
      </c>
      <c r="B28" s="18">
        <v>31035</v>
      </c>
      <c r="C28" s="158">
        <v>3420</v>
      </c>
      <c r="D28" s="183">
        <v>27312</v>
      </c>
      <c r="E28" s="160">
        <v>2104</v>
      </c>
      <c r="F28" s="183">
        <v>4191</v>
      </c>
      <c r="G28" s="160">
        <v>-5993</v>
      </c>
      <c r="H28" s="183">
        <v>17852</v>
      </c>
      <c r="I28" s="471">
        <v>2731</v>
      </c>
      <c r="J28" s="472">
        <v>10983</v>
      </c>
      <c r="K28" s="471">
        <v>4138</v>
      </c>
      <c r="L28" s="472">
        <v>7163</v>
      </c>
      <c r="M28" s="160">
        <v>1097</v>
      </c>
      <c r="N28" s="160">
        <v>8141</v>
      </c>
      <c r="O28" s="183">
        <v>200967</v>
      </c>
      <c r="P28" s="160">
        <v>4174</v>
      </c>
      <c r="Q28" s="183">
        <v>196793</v>
      </c>
      <c r="R28" s="160">
        <v>210648</v>
      </c>
      <c r="S28" s="183">
        <v>165012</v>
      </c>
      <c r="T28" s="160">
        <v>45637</v>
      </c>
      <c r="U28" s="183">
        <v>31</v>
      </c>
      <c r="V28" s="160">
        <v>7365</v>
      </c>
      <c r="W28" s="473">
        <v>-1058</v>
      </c>
      <c r="X28" s="474">
        <v>-4849</v>
      </c>
    </row>
    <row r="29" spans="1:24" s="59" customFormat="1" ht="15" customHeight="1">
      <c r="A29" s="158" t="s">
        <v>215</v>
      </c>
      <c r="B29" s="18">
        <v>150832</v>
      </c>
      <c r="C29" s="158">
        <v>70384</v>
      </c>
      <c r="D29" s="183">
        <v>52722</v>
      </c>
      <c r="E29" s="160">
        <v>5790</v>
      </c>
      <c r="F29" s="183">
        <v>12487</v>
      </c>
      <c r="G29" s="160">
        <v>9449</v>
      </c>
      <c r="H29" s="183">
        <v>157683</v>
      </c>
      <c r="I29" s="471">
        <v>74098</v>
      </c>
      <c r="J29" s="472">
        <v>54875</v>
      </c>
      <c r="K29" s="471">
        <v>28710</v>
      </c>
      <c r="L29" s="472">
        <v>4162</v>
      </c>
      <c r="M29" s="160">
        <v>3374</v>
      </c>
      <c r="N29" s="160">
        <v>6059</v>
      </c>
      <c r="O29" s="183">
        <v>1039429</v>
      </c>
      <c r="P29" s="160">
        <v>0</v>
      </c>
      <c r="Q29" s="183">
        <v>1039429</v>
      </c>
      <c r="R29" s="160">
        <v>1063948</v>
      </c>
      <c r="S29" s="183">
        <v>217035</v>
      </c>
      <c r="T29" s="160">
        <v>846913</v>
      </c>
      <c r="U29" s="183">
        <v>39</v>
      </c>
      <c r="V29" s="160">
        <v>555</v>
      </c>
      <c r="W29" s="473">
        <v>-3453</v>
      </c>
      <c r="X29" s="474">
        <v>-33705</v>
      </c>
    </row>
    <row r="30" spans="1:24" s="59" customFormat="1" ht="15" customHeight="1">
      <c r="A30" s="158" t="s">
        <v>216</v>
      </c>
      <c r="B30" s="18">
        <v>1694542</v>
      </c>
      <c r="C30" s="158">
        <v>853121</v>
      </c>
      <c r="D30" s="183">
        <v>146447</v>
      </c>
      <c r="E30" s="160">
        <v>26878</v>
      </c>
      <c r="F30" s="183">
        <v>390196</v>
      </c>
      <c r="G30" s="160">
        <v>277899</v>
      </c>
      <c r="H30" s="183">
        <v>1363225</v>
      </c>
      <c r="I30" s="471">
        <v>848003</v>
      </c>
      <c r="J30" s="472">
        <v>146309</v>
      </c>
      <c r="K30" s="471">
        <v>368913</v>
      </c>
      <c r="L30" s="472">
        <v>45222</v>
      </c>
      <c r="M30" s="160">
        <v>47943</v>
      </c>
      <c r="N30" s="160">
        <v>11494</v>
      </c>
      <c r="O30" s="183">
        <v>377158</v>
      </c>
      <c r="P30" s="160">
        <v>78184</v>
      </c>
      <c r="Q30" s="183">
        <v>298974</v>
      </c>
      <c r="R30" s="160">
        <v>268508</v>
      </c>
      <c r="S30" s="183">
        <v>105011</v>
      </c>
      <c r="T30" s="160">
        <v>163496</v>
      </c>
      <c r="U30" s="183">
        <v>502</v>
      </c>
      <c r="V30" s="160">
        <v>7628</v>
      </c>
      <c r="W30" s="473">
        <v>101936</v>
      </c>
      <c r="X30" s="474">
        <v>316692</v>
      </c>
    </row>
    <row r="31" spans="1:24" s="59" customFormat="1" ht="15" customHeight="1">
      <c r="A31" s="158" t="s">
        <v>19</v>
      </c>
      <c r="B31" s="18">
        <v>942791</v>
      </c>
      <c r="C31" s="158">
        <v>706418</v>
      </c>
      <c r="D31" s="183">
        <v>84429</v>
      </c>
      <c r="E31" s="160">
        <v>17594</v>
      </c>
      <c r="F31" s="183">
        <v>121055</v>
      </c>
      <c r="G31" s="160">
        <v>13296</v>
      </c>
      <c r="H31" s="183">
        <v>799211</v>
      </c>
      <c r="I31" s="471">
        <v>665947</v>
      </c>
      <c r="J31" s="472">
        <v>82926</v>
      </c>
      <c r="K31" s="471">
        <v>50338</v>
      </c>
      <c r="L31" s="472">
        <v>129807</v>
      </c>
      <c r="M31" s="160">
        <v>161501</v>
      </c>
      <c r="N31" s="160">
        <v>58986</v>
      </c>
      <c r="O31" s="183">
        <v>804039</v>
      </c>
      <c r="P31" s="160">
        <v>0</v>
      </c>
      <c r="Q31" s="183">
        <v>804039</v>
      </c>
      <c r="R31" s="160">
        <v>754467</v>
      </c>
      <c r="S31" s="183">
        <v>479508</v>
      </c>
      <c r="T31" s="160">
        <v>274959</v>
      </c>
      <c r="U31" s="183">
        <v>9136</v>
      </c>
      <c r="V31" s="160">
        <v>7012</v>
      </c>
      <c r="W31" s="473">
        <v>24070</v>
      </c>
      <c r="X31" s="474">
        <v>80525</v>
      </c>
    </row>
    <row r="32" spans="1:24" s="59" customFormat="1" ht="15" customHeight="1">
      <c r="A32" s="158" t="s">
        <v>20</v>
      </c>
      <c r="B32" s="18">
        <v>62500</v>
      </c>
      <c r="C32" s="158">
        <v>70</v>
      </c>
      <c r="D32" s="183">
        <v>28938</v>
      </c>
      <c r="E32" s="160">
        <v>2209</v>
      </c>
      <c r="F32" s="183">
        <v>16544</v>
      </c>
      <c r="G32" s="160">
        <v>14739</v>
      </c>
      <c r="H32" s="183">
        <v>48453</v>
      </c>
      <c r="I32" s="471">
        <v>53</v>
      </c>
      <c r="J32" s="472">
        <v>33127</v>
      </c>
      <c r="K32" s="471">
        <v>15273</v>
      </c>
      <c r="L32" s="472">
        <v>0</v>
      </c>
      <c r="M32" s="160">
        <v>0</v>
      </c>
      <c r="N32" s="160">
        <v>546</v>
      </c>
      <c r="O32" s="183">
        <v>427299</v>
      </c>
      <c r="P32" s="160">
        <v>0</v>
      </c>
      <c r="Q32" s="183">
        <v>427299</v>
      </c>
      <c r="R32" s="160">
        <v>485925</v>
      </c>
      <c r="S32" s="183">
        <v>227430</v>
      </c>
      <c r="T32" s="160">
        <v>258495</v>
      </c>
      <c r="U32" s="183">
        <v>765</v>
      </c>
      <c r="V32" s="160">
        <v>7</v>
      </c>
      <c r="W32" s="473">
        <v>-12572</v>
      </c>
      <c r="X32" s="474">
        <v>-31793</v>
      </c>
    </row>
    <row r="33" spans="1:24" s="59" customFormat="1" ht="15" customHeight="1">
      <c r="A33" s="158" t="s">
        <v>217</v>
      </c>
      <c r="B33" s="18">
        <v>1141732</v>
      </c>
      <c r="C33" s="158">
        <v>472507</v>
      </c>
      <c r="D33" s="183">
        <v>217208</v>
      </c>
      <c r="E33" s="160">
        <v>36207</v>
      </c>
      <c r="F33" s="183">
        <v>298727</v>
      </c>
      <c r="G33" s="160">
        <v>117084</v>
      </c>
      <c r="H33" s="183">
        <v>829044</v>
      </c>
      <c r="I33" s="471">
        <v>465355</v>
      </c>
      <c r="J33" s="472">
        <v>227784</v>
      </c>
      <c r="K33" s="471">
        <v>135904</v>
      </c>
      <c r="L33" s="472">
        <v>13268</v>
      </c>
      <c r="M33" s="160">
        <v>15449</v>
      </c>
      <c r="N33" s="160">
        <v>33914</v>
      </c>
      <c r="O33" s="183">
        <v>1959011</v>
      </c>
      <c r="P33" s="160">
        <v>0</v>
      </c>
      <c r="Q33" s="183">
        <v>1959011</v>
      </c>
      <c r="R33" s="160">
        <v>1988118</v>
      </c>
      <c r="S33" s="183">
        <v>1117078</v>
      </c>
      <c r="T33" s="160">
        <v>871040</v>
      </c>
      <c r="U33" s="183">
        <v>6689</v>
      </c>
      <c r="V33" s="160">
        <v>83347</v>
      </c>
      <c r="W33" s="473">
        <v>35052</v>
      </c>
      <c r="X33" s="474">
        <v>135777</v>
      </c>
    </row>
    <row r="34" spans="1:24" s="59" customFormat="1" ht="15" customHeight="1">
      <c r="A34" s="158" t="s">
        <v>218</v>
      </c>
      <c r="B34" s="18">
        <v>17176</v>
      </c>
      <c r="C34" s="158">
        <v>3729</v>
      </c>
      <c r="D34" s="183">
        <v>8233</v>
      </c>
      <c r="E34" s="160">
        <v>731</v>
      </c>
      <c r="F34" s="183">
        <v>3773</v>
      </c>
      <c r="G34" s="160">
        <v>709</v>
      </c>
      <c r="H34" s="183">
        <v>25461</v>
      </c>
      <c r="I34" s="471">
        <v>3249</v>
      </c>
      <c r="J34" s="472">
        <v>11273</v>
      </c>
      <c r="K34" s="471">
        <v>10939</v>
      </c>
      <c r="L34" s="472">
        <v>1751</v>
      </c>
      <c r="M34" s="160">
        <v>1539</v>
      </c>
      <c r="N34" s="160">
        <v>1215</v>
      </c>
      <c r="O34" s="183">
        <v>18061</v>
      </c>
      <c r="P34" s="160">
        <v>2584</v>
      </c>
      <c r="Q34" s="183">
        <v>15477</v>
      </c>
      <c r="R34" s="160">
        <v>21443</v>
      </c>
      <c r="S34" s="183">
        <v>18414</v>
      </c>
      <c r="T34" s="160">
        <v>3029</v>
      </c>
      <c r="U34" s="183">
        <v>20</v>
      </c>
      <c r="V34" s="160">
        <v>153</v>
      </c>
      <c r="W34" s="473">
        <v>0</v>
      </c>
      <c r="X34" s="474">
        <v>-12804</v>
      </c>
    </row>
    <row r="35" spans="1:24" s="59" customFormat="1" ht="15" customHeight="1">
      <c r="A35" s="158"/>
      <c r="B35" s="18" t="s">
        <v>2</v>
      </c>
      <c r="C35" s="158" t="s">
        <v>2</v>
      </c>
      <c r="D35" s="183" t="s">
        <v>2</v>
      </c>
      <c r="E35" s="160" t="s">
        <v>2</v>
      </c>
      <c r="F35" s="183" t="s">
        <v>2</v>
      </c>
      <c r="G35" s="160" t="s">
        <v>2</v>
      </c>
      <c r="H35" s="183" t="s">
        <v>2</v>
      </c>
      <c r="I35" s="471" t="s">
        <v>2</v>
      </c>
      <c r="J35" s="472" t="s">
        <v>2</v>
      </c>
      <c r="K35" s="471" t="s">
        <v>2</v>
      </c>
      <c r="L35" s="472" t="s">
        <v>2</v>
      </c>
      <c r="M35" s="160" t="s">
        <v>2</v>
      </c>
      <c r="N35" s="160" t="s">
        <v>2</v>
      </c>
      <c r="O35" s="183" t="s">
        <v>2</v>
      </c>
      <c r="P35" s="160" t="s">
        <v>2</v>
      </c>
      <c r="Q35" s="183" t="s">
        <v>2</v>
      </c>
      <c r="R35" s="160" t="s">
        <v>2</v>
      </c>
      <c r="S35" s="183" t="s">
        <v>2</v>
      </c>
      <c r="T35" s="160" t="s">
        <v>2</v>
      </c>
      <c r="U35" s="183" t="s">
        <v>2</v>
      </c>
      <c r="V35" s="160" t="s">
        <v>2</v>
      </c>
      <c r="W35" s="473" t="s">
        <v>2</v>
      </c>
      <c r="X35" s="474" t="s">
        <v>2</v>
      </c>
    </row>
    <row r="36" spans="1:24" s="59" customFormat="1" ht="15" customHeight="1">
      <c r="A36" s="165" t="s">
        <v>30</v>
      </c>
      <c r="B36" s="440">
        <v>23517956</v>
      </c>
      <c r="C36" s="482">
        <v>11696756</v>
      </c>
      <c r="D36" s="427">
        <v>4122842</v>
      </c>
      <c r="E36" s="426">
        <v>957259</v>
      </c>
      <c r="F36" s="427">
        <v>4470146</v>
      </c>
      <c r="G36" s="426">
        <v>2270953</v>
      </c>
      <c r="H36" s="427">
        <v>18806231</v>
      </c>
      <c r="I36" s="483">
        <v>11559937</v>
      </c>
      <c r="J36" s="484">
        <v>4255924</v>
      </c>
      <c r="K36" s="483">
        <v>2990370</v>
      </c>
      <c r="L36" s="484">
        <v>764650</v>
      </c>
      <c r="M36" s="426">
        <v>829258</v>
      </c>
      <c r="N36" s="426">
        <v>572627</v>
      </c>
      <c r="O36" s="427">
        <v>45865547</v>
      </c>
      <c r="P36" s="426">
        <v>2047811</v>
      </c>
      <c r="Q36" s="427">
        <v>43817736</v>
      </c>
      <c r="R36" s="426">
        <v>44263101</v>
      </c>
      <c r="S36" s="427">
        <v>22923547</v>
      </c>
      <c r="T36" s="426">
        <v>21339554</v>
      </c>
      <c r="U36" s="427">
        <v>244355</v>
      </c>
      <c r="V36" s="426">
        <v>361747</v>
      </c>
      <c r="W36" s="485">
        <v>1160255</v>
      </c>
      <c r="X36" s="486">
        <v>4399289</v>
      </c>
    </row>
    <row r="37" spans="1:24" s="59" customFormat="1" ht="15" customHeight="1">
      <c r="A37" s="165"/>
      <c r="B37" s="440"/>
      <c r="C37" s="482"/>
      <c r="D37" s="427"/>
      <c r="E37" s="426"/>
      <c r="F37" s="427"/>
      <c r="G37" s="426"/>
      <c r="H37" s="427"/>
      <c r="I37" s="483"/>
      <c r="J37" s="484"/>
      <c r="K37" s="483"/>
      <c r="L37" s="484"/>
      <c r="M37" s="426"/>
      <c r="N37" s="426"/>
      <c r="O37" s="427"/>
      <c r="P37" s="426"/>
      <c r="Q37" s="427"/>
      <c r="R37" s="426"/>
      <c r="S37" s="427"/>
      <c r="T37" s="426"/>
      <c r="U37" s="427"/>
      <c r="V37" s="426"/>
      <c r="W37" s="485"/>
      <c r="X37" s="486"/>
    </row>
    <row r="38" spans="1:24" s="59" customFormat="1" ht="15" customHeight="1">
      <c r="A38" s="443" t="s">
        <v>294</v>
      </c>
      <c r="B38" s="18">
        <v>15309840</v>
      </c>
      <c r="C38" s="158">
        <v>7712131</v>
      </c>
      <c r="D38" s="183">
        <v>2741668</v>
      </c>
      <c r="E38" s="160">
        <v>671012</v>
      </c>
      <c r="F38" s="183">
        <v>2966820</v>
      </c>
      <c r="G38" s="160">
        <v>1218208</v>
      </c>
      <c r="H38" s="183">
        <v>12084804</v>
      </c>
      <c r="I38" s="471">
        <v>7655121</v>
      </c>
      <c r="J38" s="472">
        <v>2806388</v>
      </c>
      <c r="K38" s="471">
        <v>1623295</v>
      </c>
      <c r="L38" s="472">
        <v>513052</v>
      </c>
      <c r="M38" s="160">
        <v>549348</v>
      </c>
      <c r="N38" s="160">
        <v>407804</v>
      </c>
      <c r="O38" s="183">
        <v>34480228</v>
      </c>
      <c r="P38" s="160">
        <v>859879</v>
      </c>
      <c r="Q38" s="183">
        <v>33620349</v>
      </c>
      <c r="R38" s="160">
        <v>32333546</v>
      </c>
      <c r="S38" s="183">
        <v>18515152</v>
      </c>
      <c r="T38" s="160">
        <v>13818394</v>
      </c>
      <c r="U38" s="183">
        <v>167604</v>
      </c>
      <c r="V38" s="160">
        <v>262310</v>
      </c>
      <c r="W38" s="473">
        <v>1003540</v>
      </c>
      <c r="X38" s="474">
        <v>3829374</v>
      </c>
    </row>
    <row r="39" spans="1:24" s="59" customFormat="1" ht="15" customHeight="1" thickBot="1">
      <c r="A39" s="475"/>
      <c r="B39" s="476"/>
      <c r="C39" s="475"/>
      <c r="D39" s="268"/>
      <c r="E39" s="269"/>
      <c r="F39" s="268"/>
      <c r="G39" s="477"/>
      <c r="H39" s="478"/>
      <c r="I39" s="477"/>
      <c r="J39" s="478"/>
      <c r="K39" s="477"/>
      <c r="L39" s="478"/>
      <c r="M39" s="477"/>
      <c r="N39" s="477"/>
      <c r="O39" s="478"/>
      <c r="P39" s="477"/>
      <c r="Q39" s="478"/>
      <c r="R39" s="477"/>
      <c r="S39" s="478"/>
      <c r="T39" s="477"/>
      <c r="U39" s="478"/>
      <c r="V39" s="477"/>
      <c r="W39" s="478"/>
      <c r="X39" s="479"/>
    </row>
    <row r="40" spans="1:24" ht="15" customHeight="1">
      <c r="A40" s="480"/>
      <c r="B40" s="480"/>
      <c r="C40" s="481"/>
      <c r="D40" s="175"/>
      <c r="E40" s="8"/>
      <c r="F40" s="8"/>
      <c r="G40" s="175"/>
      <c r="H40" s="8"/>
      <c r="I40" s="8"/>
      <c r="J40" s="8"/>
      <c r="K40" s="8"/>
      <c r="L40" s="175"/>
      <c r="M40" s="175"/>
      <c r="N40" s="175"/>
      <c r="O40" s="8"/>
      <c r="P40" s="8"/>
      <c r="Q40" s="8"/>
      <c r="R40" s="8"/>
      <c r="S40" s="8"/>
      <c r="T40" s="175"/>
      <c r="U40" s="8"/>
      <c r="V40" s="8"/>
      <c r="W40" s="8"/>
      <c r="X40" s="8"/>
    </row>
    <row r="41" spans="1:24" ht="15" customHeight="1">
      <c r="A41" s="8" t="s">
        <v>287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5"/>
      <c r="N42" s="15"/>
      <c r="O42" s="15"/>
      <c r="P42" s="8"/>
      <c r="Q42" s="15"/>
      <c r="R42" s="8"/>
      <c r="S42" s="8"/>
      <c r="T42" s="8"/>
      <c r="U42" s="8"/>
      <c r="V42" s="8"/>
      <c r="W42" s="8"/>
      <c r="X42" s="8"/>
    </row>
    <row r="43" spans="1:24" ht="12.95" customHeight="1">
      <c r="M43" s="14"/>
      <c r="N43" s="14"/>
      <c r="O43" s="14"/>
    </row>
    <row r="46" spans="1:24" ht="12.95" customHeight="1"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2.95" customHeight="1"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2.95" customHeight="1"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72" spans="2:24" ht="12.95" customHeight="1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2:24" ht="12.95" customHeight="1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2:24" ht="12.95" customHeight="1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2:24" ht="12.95" customHeight="1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2:24" ht="12.95" customHeight="1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2:24" ht="12.95" customHeight="1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2:24" ht="12.95" customHeight="1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2:24" ht="12.95" customHeight="1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2:24" ht="12.95" customHeight="1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2:24" ht="12.95" customHeight="1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2:24" ht="12.95" customHeight="1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2:24" ht="12.95" customHeight="1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2:24" ht="12.95" customHeight="1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2:24" ht="12.95" customHeight="1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2:24" ht="12.95" customHeight="1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2:24" ht="12.95" customHeight="1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2:24" ht="12.95" customHeight="1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2:24" ht="12.95" customHeight="1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2:24" ht="12.95" customHeight="1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2:24" ht="12.95" customHeight="1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2:24" ht="12.95" customHeight="1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2:24" ht="12.95" customHeight="1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2:24" ht="12.95" customHeight="1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2:24" ht="12.95" customHeight="1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2:24" ht="12.95" customHeight="1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2:24" ht="12.95" customHeight="1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2:24" ht="12.95" customHeight="1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2:24" ht="12.95" customHeight="1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2:24" ht="12.95" customHeight="1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2:24" ht="12.95" customHeight="1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</sheetData>
  <mergeCells count="30">
    <mergeCell ref="B7:N7"/>
    <mergeCell ref="N8:N11"/>
    <mergeCell ref="O7:T7"/>
    <mergeCell ref="U7:V7"/>
    <mergeCell ref="W7:W11"/>
    <mergeCell ref="R9:R11"/>
    <mergeCell ref="S9:S11"/>
    <mergeCell ref="T9:T11"/>
    <mergeCell ref="I9:I11"/>
    <mergeCell ref="J9:J11"/>
    <mergeCell ref="K9:K11"/>
    <mergeCell ref="O9:O11"/>
    <mergeCell ref="P9:P11"/>
    <mergeCell ref="Q9:Q11"/>
    <mergeCell ref="X7:X11"/>
    <mergeCell ref="B8:G8"/>
    <mergeCell ref="H8:K8"/>
    <mergeCell ref="L8:L11"/>
    <mergeCell ref="M8:M11"/>
    <mergeCell ref="O8:Q8"/>
    <mergeCell ref="R8:T8"/>
    <mergeCell ref="U8:U11"/>
    <mergeCell ref="V8:V11"/>
    <mergeCell ref="B9:B11"/>
    <mergeCell ref="C9:C11"/>
    <mergeCell ref="D9:D11"/>
    <mergeCell ref="E9:E11"/>
    <mergeCell ref="F9:F11"/>
    <mergeCell ref="G9:G11"/>
    <mergeCell ref="H9:H11"/>
  </mergeCells>
  <phoneticPr fontId="2" type="noConversion"/>
  <pageMargins left="0.43" right="0.42" top="0.73" bottom="0.64" header="0.5" footer="0.46"/>
  <pageSetup paperSize="9" scale="85" orientation="landscape" r:id="rId1"/>
  <headerFooter alignWithMargins="0"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zoomScaleNormal="100" zoomScaleSheetLayoutView="100" workbookViewId="0">
      <pane xSplit="1" ySplit="12" topLeftCell="B13" activePane="bottomRight" state="frozen"/>
      <selection activeCell="P22" sqref="P22"/>
      <selection pane="topRight" activeCell="P22" sqref="P22"/>
      <selection pane="bottomLeft" activeCell="P22" sqref="P22"/>
      <selection pane="bottomRight" activeCell="B14" sqref="B14:Q41"/>
    </sheetView>
  </sheetViews>
  <sheetFormatPr defaultColWidth="7.77734375" defaultRowHeight="12.95" customHeight="1"/>
  <cols>
    <col min="1" max="1" width="14.77734375" style="7" customWidth="1"/>
    <col min="2" max="9" width="11.77734375" style="2" customWidth="1"/>
    <col min="10" max="17" width="11.77734375" customWidth="1"/>
    <col min="18" max="20" width="2.6640625" customWidth="1"/>
  </cols>
  <sheetData>
    <row r="1" spans="1:17" ht="15" customHeight="1"/>
    <row r="2" spans="1:17" ht="15" customHeight="1">
      <c r="A2" s="19" t="s">
        <v>80</v>
      </c>
    </row>
    <row r="3" spans="1:17" ht="15" customHeight="1">
      <c r="A3" s="1" t="s">
        <v>253</v>
      </c>
    </row>
    <row r="4" spans="1:17" ht="15" customHeight="1">
      <c r="A4" s="1"/>
    </row>
    <row r="5" spans="1:17" ht="15" customHeight="1">
      <c r="A5" s="1"/>
    </row>
    <row r="6" spans="1:17" ht="15" customHeight="1" thickBot="1">
      <c r="A6" s="177" t="str">
        <f>'II-1'!A6</f>
        <v>2023. 11. 30.</v>
      </c>
      <c r="B6" s="270"/>
      <c r="C6" s="270"/>
      <c r="D6" s="270"/>
      <c r="E6" s="270"/>
      <c r="F6" s="270"/>
      <c r="G6" s="270"/>
      <c r="H6" s="270"/>
      <c r="I6" s="271"/>
      <c r="J6" s="189"/>
      <c r="K6" s="270"/>
      <c r="L6" s="270"/>
      <c r="M6" s="270"/>
      <c r="N6" s="270"/>
      <c r="O6" s="270"/>
      <c r="P6" s="270"/>
      <c r="Q6" s="271" t="s">
        <v>81</v>
      </c>
    </row>
    <row r="7" spans="1:17" ht="15" customHeight="1">
      <c r="A7" s="281"/>
      <c r="B7" s="506" t="s">
        <v>124</v>
      </c>
      <c r="C7" s="507"/>
      <c r="D7" s="507"/>
      <c r="E7" s="507"/>
      <c r="F7" s="507"/>
      <c r="G7" s="507"/>
      <c r="H7" s="507"/>
      <c r="I7" s="507"/>
      <c r="J7" s="506" t="s">
        <v>254</v>
      </c>
      <c r="K7" s="507"/>
      <c r="L7" s="507"/>
      <c r="M7" s="507"/>
      <c r="N7" s="507"/>
      <c r="O7" s="507"/>
      <c r="P7" s="507"/>
      <c r="Q7" s="507"/>
    </row>
    <row r="8" spans="1:17" ht="15" customHeight="1">
      <c r="A8" s="280"/>
      <c r="B8" s="587" t="s">
        <v>55</v>
      </c>
      <c r="C8" s="588"/>
      <c r="D8" s="588"/>
      <c r="E8" s="588"/>
      <c r="F8" s="588"/>
      <c r="G8" s="588"/>
      <c r="H8" s="591" t="s">
        <v>125</v>
      </c>
      <c r="I8" s="592"/>
      <c r="J8" s="579" t="s">
        <v>255</v>
      </c>
      <c r="K8" s="579"/>
      <c r="L8" s="579"/>
      <c r="M8" s="581" t="s">
        <v>256</v>
      </c>
      <c r="N8" s="579"/>
      <c r="O8" s="579"/>
      <c r="P8" s="579"/>
      <c r="Q8" s="579"/>
    </row>
    <row r="9" spans="1:17" ht="15" customHeight="1">
      <c r="A9" s="280"/>
      <c r="B9" s="589"/>
      <c r="C9" s="590"/>
      <c r="D9" s="590"/>
      <c r="E9" s="590"/>
      <c r="F9" s="590"/>
      <c r="G9" s="590"/>
      <c r="H9" s="593"/>
      <c r="I9" s="594"/>
      <c r="J9" s="580"/>
      <c r="K9" s="580"/>
      <c r="L9" s="580"/>
      <c r="M9" s="582"/>
      <c r="N9" s="580"/>
      <c r="O9" s="580"/>
      <c r="P9" s="580"/>
      <c r="Q9" s="580"/>
    </row>
    <row r="10" spans="1:17" ht="15" customHeight="1">
      <c r="A10" s="280"/>
      <c r="B10" s="585" t="s">
        <v>82</v>
      </c>
      <c r="C10" s="585" t="s">
        <v>98</v>
      </c>
      <c r="D10" s="585" t="s">
        <v>89</v>
      </c>
      <c r="E10" s="585" t="s">
        <v>88</v>
      </c>
      <c r="F10" s="585" t="s">
        <v>52</v>
      </c>
      <c r="G10" s="585" t="s">
        <v>123</v>
      </c>
      <c r="H10" s="585" t="s">
        <v>112</v>
      </c>
      <c r="I10" s="585" t="s">
        <v>126</v>
      </c>
      <c r="J10" s="583" t="s">
        <v>127</v>
      </c>
      <c r="K10" s="575" t="s">
        <v>88</v>
      </c>
      <c r="L10" s="575" t="s">
        <v>257</v>
      </c>
      <c r="M10" s="575" t="s">
        <v>258</v>
      </c>
      <c r="N10" s="575" t="s">
        <v>128</v>
      </c>
      <c r="O10" s="575" t="s">
        <v>259</v>
      </c>
      <c r="P10" s="575" t="s">
        <v>88</v>
      </c>
      <c r="Q10" s="577" t="s">
        <v>260</v>
      </c>
    </row>
    <row r="11" spans="1:17" ht="15" customHeight="1">
      <c r="A11" s="280"/>
      <c r="B11" s="586"/>
      <c r="C11" s="586"/>
      <c r="D11" s="586"/>
      <c r="E11" s="586"/>
      <c r="F11" s="586"/>
      <c r="G11" s="586"/>
      <c r="H11" s="586"/>
      <c r="I11" s="586"/>
      <c r="J11" s="584"/>
      <c r="K11" s="576"/>
      <c r="L11" s="576"/>
      <c r="M11" s="576"/>
      <c r="N11" s="576"/>
      <c r="O11" s="576"/>
      <c r="P11" s="576"/>
      <c r="Q11" s="578"/>
    </row>
    <row r="12" spans="1:17" ht="15" customHeight="1">
      <c r="A12" s="280"/>
      <c r="B12" s="586"/>
      <c r="C12" s="586"/>
      <c r="D12" s="586"/>
      <c r="E12" s="586"/>
      <c r="F12" s="586"/>
      <c r="G12" s="586"/>
      <c r="H12" s="586"/>
      <c r="I12" s="586"/>
      <c r="J12" s="584"/>
      <c r="K12" s="576"/>
      <c r="L12" s="576"/>
      <c r="M12" s="576"/>
      <c r="N12" s="576"/>
      <c r="O12" s="576"/>
      <c r="P12" s="576"/>
      <c r="Q12" s="578"/>
    </row>
    <row r="13" spans="1:17" ht="15" customHeight="1">
      <c r="A13" s="272"/>
      <c r="B13" s="420"/>
      <c r="C13" s="275"/>
      <c r="D13" s="273"/>
      <c r="E13" s="275"/>
      <c r="F13" s="273"/>
      <c r="G13" s="275"/>
      <c r="H13" s="420"/>
      <c r="I13" s="275"/>
      <c r="J13" s="273"/>
      <c r="K13" s="275"/>
      <c r="L13" s="273"/>
      <c r="M13" s="275"/>
      <c r="N13" s="273"/>
      <c r="O13" s="275"/>
      <c r="P13" s="275"/>
      <c r="Q13" s="273"/>
    </row>
    <row r="14" spans="1:17" ht="15" customHeight="1">
      <c r="A14" s="158" t="s">
        <v>35</v>
      </c>
      <c r="B14" s="416">
        <v>356982</v>
      </c>
      <c r="C14" s="149">
        <v>14207807</v>
      </c>
      <c r="D14" s="182">
        <v>452372</v>
      </c>
      <c r="E14" s="149">
        <v>299041</v>
      </c>
      <c r="F14" s="182">
        <v>15316203</v>
      </c>
      <c r="G14" s="149">
        <v>14790749</v>
      </c>
      <c r="H14" s="416">
        <v>15316203</v>
      </c>
      <c r="I14" s="149">
        <v>14489490</v>
      </c>
      <c r="J14" s="459">
        <v>877573</v>
      </c>
      <c r="K14" s="460">
        <v>1407204</v>
      </c>
      <c r="L14" s="459">
        <v>2284777</v>
      </c>
      <c r="M14" s="460">
        <v>81049</v>
      </c>
      <c r="N14" s="459">
        <v>973965</v>
      </c>
      <c r="O14" s="460">
        <v>545277</v>
      </c>
      <c r="P14" s="460">
        <v>684486</v>
      </c>
      <c r="Q14" s="459">
        <v>2284777</v>
      </c>
    </row>
    <row r="15" spans="1:17" ht="15" customHeight="1">
      <c r="A15" s="158" t="s">
        <v>4</v>
      </c>
      <c r="B15" s="416">
        <v>228467</v>
      </c>
      <c r="C15" s="149">
        <v>1968755</v>
      </c>
      <c r="D15" s="182">
        <v>84046</v>
      </c>
      <c r="E15" s="149">
        <v>65694</v>
      </c>
      <c r="F15" s="182">
        <v>2346962</v>
      </c>
      <c r="G15" s="149">
        <v>2300212</v>
      </c>
      <c r="H15" s="416">
        <v>2346962</v>
      </c>
      <c r="I15" s="149">
        <v>2302208</v>
      </c>
      <c r="J15" s="459">
        <v>314231</v>
      </c>
      <c r="K15" s="460">
        <v>466852</v>
      </c>
      <c r="L15" s="459">
        <v>781083</v>
      </c>
      <c r="M15" s="460">
        <v>24462</v>
      </c>
      <c r="N15" s="459">
        <v>364331</v>
      </c>
      <c r="O15" s="460">
        <v>39863</v>
      </c>
      <c r="P15" s="460">
        <v>352426</v>
      </c>
      <c r="Q15" s="459">
        <v>781083</v>
      </c>
    </row>
    <row r="16" spans="1:17" ht="15" customHeight="1">
      <c r="A16" s="158" t="s">
        <v>206</v>
      </c>
      <c r="B16" s="416">
        <v>1035910</v>
      </c>
      <c r="C16" s="149">
        <v>24675022</v>
      </c>
      <c r="D16" s="182">
        <v>566596</v>
      </c>
      <c r="E16" s="149">
        <v>296768</v>
      </c>
      <c r="F16" s="182">
        <v>26574295</v>
      </c>
      <c r="G16" s="149">
        <v>26214399</v>
      </c>
      <c r="H16" s="416">
        <v>26574295</v>
      </c>
      <c r="I16" s="149">
        <v>26316189</v>
      </c>
      <c r="J16" s="459">
        <v>1614554</v>
      </c>
      <c r="K16" s="460">
        <v>2916734</v>
      </c>
      <c r="L16" s="459">
        <v>4531288</v>
      </c>
      <c r="M16" s="460">
        <v>445596</v>
      </c>
      <c r="N16" s="459">
        <v>1731621</v>
      </c>
      <c r="O16" s="460">
        <v>843650</v>
      </c>
      <c r="P16" s="460">
        <v>1510421</v>
      </c>
      <c r="Q16" s="459">
        <v>4531288</v>
      </c>
    </row>
    <row r="17" spans="1:17" ht="15" customHeight="1">
      <c r="A17" s="158" t="s">
        <v>207</v>
      </c>
      <c r="B17" s="416">
        <v>84670</v>
      </c>
      <c r="C17" s="149">
        <v>1068636</v>
      </c>
      <c r="D17" s="182">
        <v>83008</v>
      </c>
      <c r="E17" s="149">
        <v>41240</v>
      </c>
      <c r="F17" s="182">
        <v>1277555</v>
      </c>
      <c r="G17" s="149">
        <v>1227146</v>
      </c>
      <c r="H17" s="416">
        <v>1277555</v>
      </c>
      <c r="I17" s="149">
        <v>1248147</v>
      </c>
      <c r="J17" s="459">
        <v>151564</v>
      </c>
      <c r="K17" s="460">
        <v>713237</v>
      </c>
      <c r="L17" s="459">
        <v>864801</v>
      </c>
      <c r="M17" s="460">
        <v>-32606</v>
      </c>
      <c r="N17" s="459">
        <v>239920</v>
      </c>
      <c r="O17" s="460">
        <v>39560</v>
      </c>
      <c r="P17" s="460">
        <v>617927</v>
      </c>
      <c r="Q17" s="459">
        <v>864801</v>
      </c>
    </row>
    <row r="18" spans="1:17" ht="15" customHeight="1">
      <c r="A18" s="158" t="s">
        <v>208</v>
      </c>
      <c r="B18" s="416">
        <v>396654</v>
      </c>
      <c r="C18" s="149">
        <v>13726165</v>
      </c>
      <c r="D18" s="182">
        <v>471965</v>
      </c>
      <c r="E18" s="149">
        <v>325310</v>
      </c>
      <c r="F18" s="182">
        <v>14920094</v>
      </c>
      <c r="G18" s="149">
        <v>14837680</v>
      </c>
      <c r="H18" s="416">
        <v>14920094</v>
      </c>
      <c r="I18" s="149">
        <v>14806596</v>
      </c>
      <c r="J18" s="459">
        <v>1117791</v>
      </c>
      <c r="K18" s="460">
        <v>1583813</v>
      </c>
      <c r="L18" s="459">
        <v>2701604</v>
      </c>
      <c r="M18" s="460">
        <v>399872</v>
      </c>
      <c r="N18" s="459">
        <v>1049252</v>
      </c>
      <c r="O18" s="460">
        <v>430535</v>
      </c>
      <c r="P18" s="460">
        <v>821945</v>
      </c>
      <c r="Q18" s="459">
        <v>2701604</v>
      </c>
    </row>
    <row r="19" spans="1:17" ht="15" customHeight="1">
      <c r="A19" s="158" t="s">
        <v>8</v>
      </c>
      <c r="B19" s="416">
        <v>106464</v>
      </c>
      <c r="C19" s="149">
        <v>951846</v>
      </c>
      <c r="D19" s="182">
        <v>0</v>
      </c>
      <c r="E19" s="149">
        <v>18712</v>
      </c>
      <c r="F19" s="182">
        <v>1077023</v>
      </c>
      <c r="G19" s="149">
        <v>1077023</v>
      </c>
      <c r="H19" s="416">
        <v>1077023</v>
      </c>
      <c r="I19" s="149">
        <v>1070457</v>
      </c>
      <c r="J19" s="459">
        <v>232891</v>
      </c>
      <c r="K19" s="460">
        <v>184988</v>
      </c>
      <c r="L19" s="459">
        <v>417879</v>
      </c>
      <c r="M19" s="460">
        <v>164120</v>
      </c>
      <c r="N19" s="459">
        <v>98037</v>
      </c>
      <c r="O19" s="460">
        <v>10570</v>
      </c>
      <c r="P19" s="460">
        <v>145152</v>
      </c>
      <c r="Q19" s="459">
        <v>417879</v>
      </c>
    </row>
    <row r="20" spans="1:17" ht="15" customHeight="1">
      <c r="A20" s="158" t="s">
        <v>209</v>
      </c>
      <c r="B20" s="416">
        <v>451214</v>
      </c>
      <c r="C20" s="149">
        <v>11186520</v>
      </c>
      <c r="D20" s="182">
        <v>148550</v>
      </c>
      <c r="E20" s="149">
        <v>130315</v>
      </c>
      <c r="F20" s="182">
        <v>11916598</v>
      </c>
      <c r="G20" s="149">
        <v>11888048</v>
      </c>
      <c r="H20" s="416">
        <v>11916598</v>
      </c>
      <c r="I20" s="149">
        <v>11843313</v>
      </c>
      <c r="J20" s="459">
        <v>981684</v>
      </c>
      <c r="K20" s="460">
        <v>1548392</v>
      </c>
      <c r="L20" s="459">
        <v>2530076</v>
      </c>
      <c r="M20" s="460">
        <v>456422</v>
      </c>
      <c r="N20" s="459">
        <v>1342740</v>
      </c>
      <c r="O20" s="460">
        <v>230603</v>
      </c>
      <c r="P20" s="460">
        <v>500310</v>
      </c>
      <c r="Q20" s="459">
        <v>2530076</v>
      </c>
    </row>
    <row r="21" spans="1:17" ht="15" customHeight="1">
      <c r="A21" s="158" t="s">
        <v>10</v>
      </c>
      <c r="B21" s="416">
        <v>20368</v>
      </c>
      <c r="C21" s="149">
        <v>625259</v>
      </c>
      <c r="D21" s="182">
        <v>47085</v>
      </c>
      <c r="E21" s="149">
        <v>21897</v>
      </c>
      <c r="F21" s="182">
        <v>714609</v>
      </c>
      <c r="G21" s="149">
        <v>680508</v>
      </c>
      <c r="H21" s="416">
        <v>714609</v>
      </c>
      <c r="I21" s="149">
        <v>695795</v>
      </c>
      <c r="J21" s="459">
        <v>133727</v>
      </c>
      <c r="K21" s="460">
        <v>64866</v>
      </c>
      <c r="L21" s="459">
        <v>198593</v>
      </c>
      <c r="M21" s="460">
        <v>72427</v>
      </c>
      <c r="N21" s="459">
        <v>78664</v>
      </c>
      <c r="O21" s="460">
        <v>15359</v>
      </c>
      <c r="P21" s="460">
        <v>32144</v>
      </c>
      <c r="Q21" s="459">
        <v>198593</v>
      </c>
    </row>
    <row r="22" spans="1:17" ht="15" customHeight="1">
      <c r="A22" s="158" t="s">
        <v>11</v>
      </c>
      <c r="B22" s="416">
        <v>62275</v>
      </c>
      <c r="C22" s="149">
        <v>1025831</v>
      </c>
      <c r="D22" s="182">
        <v>90603</v>
      </c>
      <c r="E22" s="149">
        <v>30381</v>
      </c>
      <c r="F22" s="182">
        <v>1209091</v>
      </c>
      <c r="G22" s="149">
        <v>1146090</v>
      </c>
      <c r="H22" s="416">
        <v>1209091</v>
      </c>
      <c r="I22" s="149">
        <v>1183504</v>
      </c>
      <c r="J22" s="459">
        <v>155089</v>
      </c>
      <c r="K22" s="460">
        <v>141382</v>
      </c>
      <c r="L22" s="459">
        <v>296471</v>
      </c>
      <c r="M22" s="460">
        <v>45365</v>
      </c>
      <c r="N22" s="459">
        <v>74112</v>
      </c>
      <c r="O22" s="460">
        <v>104742</v>
      </c>
      <c r="P22" s="460">
        <v>72252</v>
      </c>
      <c r="Q22" s="459">
        <v>296471</v>
      </c>
    </row>
    <row r="23" spans="1:17" ht="15" customHeight="1">
      <c r="A23" s="158" t="s">
        <v>210</v>
      </c>
      <c r="B23" s="416">
        <v>59194</v>
      </c>
      <c r="C23" s="149">
        <v>1107954</v>
      </c>
      <c r="D23" s="182">
        <v>58683</v>
      </c>
      <c r="E23" s="149">
        <v>25956</v>
      </c>
      <c r="F23" s="182">
        <v>1251787</v>
      </c>
      <c r="G23" s="149">
        <v>1192965</v>
      </c>
      <c r="H23" s="416">
        <v>1251787</v>
      </c>
      <c r="I23" s="149">
        <v>1164573</v>
      </c>
      <c r="J23" s="459">
        <v>51423</v>
      </c>
      <c r="K23" s="460">
        <v>156720</v>
      </c>
      <c r="L23" s="459">
        <v>208144</v>
      </c>
      <c r="M23" s="460">
        <v>10806</v>
      </c>
      <c r="N23" s="459">
        <v>97930</v>
      </c>
      <c r="O23" s="460">
        <v>15164</v>
      </c>
      <c r="P23" s="460">
        <v>84244</v>
      </c>
      <c r="Q23" s="459">
        <v>208144</v>
      </c>
    </row>
    <row r="24" spans="1:17" ht="15" customHeight="1">
      <c r="A24" s="158" t="s">
        <v>211</v>
      </c>
      <c r="B24" s="416">
        <v>403005</v>
      </c>
      <c r="C24" s="149">
        <v>10179116</v>
      </c>
      <c r="D24" s="182">
        <v>418355</v>
      </c>
      <c r="E24" s="149">
        <v>174227</v>
      </c>
      <c r="F24" s="182">
        <v>11174703</v>
      </c>
      <c r="G24" s="149">
        <v>10804721</v>
      </c>
      <c r="H24" s="416">
        <v>11174703</v>
      </c>
      <c r="I24" s="149">
        <v>11088828</v>
      </c>
      <c r="J24" s="459">
        <v>1079373</v>
      </c>
      <c r="K24" s="460">
        <v>1606835</v>
      </c>
      <c r="L24" s="459">
        <v>2686208</v>
      </c>
      <c r="M24" s="460">
        <v>687990</v>
      </c>
      <c r="N24" s="459">
        <v>1188853</v>
      </c>
      <c r="O24" s="460">
        <v>140411</v>
      </c>
      <c r="P24" s="460">
        <v>668954</v>
      </c>
      <c r="Q24" s="459">
        <v>2686208</v>
      </c>
    </row>
    <row r="25" spans="1:17" ht="15" customHeight="1">
      <c r="A25" s="158" t="s">
        <v>27</v>
      </c>
      <c r="B25" s="416">
        <v>233964</v>
      </c>
      <c r="C25" s="149">
        <v>5159724</v>
      </c>
      <c r="D25" s="182">
        <v>135282</v>
      </c>
      <c r="E25" s="149">
        <v>124992</v>
      </c>
      <c r="F25" s="182">
        <v>5653961</v>
      </c>
      <c r="G25" s="149">
        <v>5579925</v>
      </c>
      <c r="H25" s="416">
        <v>5653961</v>
      </c>
      <c r="I25" s="149">
        <v>5580507</v>
      </c>
      <c r="J25" s="459">
        <v>520380</v>
      </c>
      <c r="K25" s="460">
        <v>588144</v>
      </c>
      <c r="L25" s="459">
        <v>1108524</v>
      </c>
      <c r="M25" s="460">
        <v>169397</v>
      </c>
      <c r="N25" s="459">
        <v>532900</v>
      </c>
      <c r="O25" s="460">
        <v>85450</v>
      </c>
      <c r="P25" s="460">
        <v>320776</v>
      </c>
      <c r="Q25" s="459">
        <v>1108524</v>
      </c>
    </row>
    <row r="26" spans="1:17" s="83" customFormat="1" ht="15" customHeight="1">
      <c r="A26" s="162" t="s">
        <v>23</v>
      </c>
      <c r="B26" s="416">
        <v>430570</v>
      </c>
      <c r="C26" s="149">
        <v>5115878</v>
      </c>
      <c r="D26" s="182">
        <v>191703</v>
      </c>
      <c r="E26" s="149">
        <v>178998</v>
      </c>
      <c r="F26" s="182">
        <v>5917149</v>
      </c>
      <c r="G26" s="149">
        <v>5803763</v>
      </c>
      <c r="H26" s="416">
        <v>5917149</v>
      </c>
      <c r="I26" s="149">
        <v>5860226</v>
      </c>
      <c r="J26" s="459">
        <v>384706</v>
      </c>
      <c r="K26" s="460">
        <v>676661</v>
      </c>
      <c r="L26" s="459">
        <v>1061367</v>
      </c>
      <c r="M26" s="460">
        <v>30893</v>
      </c>
      <c r="N26" s="459">
        <v>572343</v>
      </c>
      <c r="O26" s="460">
        <v>105771</v>
      </c>
      <c r="P26" s="460">
        <v>352360</v>
      </c>
      <c r="Q26" s="459">
        <v>1061367</v>
      </c>
    </row>
    <row r="27" spans="1:17" ht="15" customHeight="1">
      <c r="A27" s="158" t="s">
        <v>212</v>
      </c>
      <c r="B27" s="416">
        <v>14811</v>
      </c>
      <c r="C27" s="149">
        <v>264268</v>
      </c>
      <c r="D27" s="182">
        <v>46312</v>
      </c>
      <c r="E27" s="149">
        <v>2896</v>
      </c>
      <c r="F27" s="182">
        <v>328287</v>
      </c>
      <c r="G27" s="149">
        <v>310660</v>
      </c>
      <c r="H27" s="416">
        <v>328287</v>
      </c>
      <c r="I27" s="149">
        <v>325238</v>
      </c>
      <c r="J27" s="459">
        <v>31299</v>
      </c>
      <c r="K27" s="460">
        <v>36464</v>
      </c>
      <c r="L27" s="459">
        <v>67763</v>
      </c>
      <c r="M27" s="460">
        <v>1547</v>
      </c>
      <c r="N27" s="459">
        <v>45882</v>
      </c>
      <c r="O27" s="460">
        <v>5821</v>
      </c>
      <c r="P27" s="460">
        <v>14513</v>
      </c>
      <c r="Q27" s="459">
        <v>67763</v>
      </c>
    </row>
    <row r="28" spans="1:17" ht="15" customHeight="1">
      <c r="A28" s="158" t="s">
        <v>213</v>
      </c>
      <c r="B28" s="416">
        <v>83072</v>
      </c>
      <c r="C28" s="149">
        <v>1044597</v>
      </c>
      <c r="D28" s="182">
        <v>1200</v>
      </c>
      <c r="E28" s="149">
        <v>34086</v>
      </c>
      <c r="F28" s="182">
        <v>1162955</v>
      </c>
      <c r="G28" s="149">
        <v>1161755</v>
      </c>
      <c r="H28" s="416">
        <v>1162955</v>
      </c>
      <c r="I28" s="149">
        <v>1146488</v>
      </c>
      <c r="J28" s="459">
        <v>172107</v>
      </c>
      <c r="K28" s="460">
        <v>305517</v>
      </c>
      <c r="L28" s="459">
        <v>477623</v>
      </c>
      <c r="M28" s="460">
        <v>114220</v>
      </c>
      <c r="N28" s="459">
        <v>155704</v>
      </c>
      <c r="O28" s="460">
        <v>21973</v>
      </c>
      <c r="P28" s="460">
        <v>185726</v>
      </c>
      <c r="Q28" s="459">
        <v>477623</v>
      </c>
    </row>
    <row r="29" spans="1:17" ht="15" customHeight="1">
      <c r="A29" s="158" t="s">
        <v>214</v>
      </c>
      <c r="B29" s="416">
        <v>74824</v>
      </c>
      <c r="C29" s="149">
        <v>1094420</v>
      </c>
      <c r="D29" s="182">
        <v>520</v>
      </c>
      <c r="E29" s="149">
        <v>14452</v>
      </c>
      <c r="F29" s="182">
        <v>1184216</v>
      </c>
      <c r="G29" s="149">
        <v>1183694</v>
      </c>
      <c r="H29" s="416">
        <v>1184216</v>
      </c>
      <c r="I29" s="149">
        <v>1179635</v>
      </c>
      <c r="J29" s="459">
        <v>118546</v>
      </c>
      <c r="K29" s="460">
        <v>168091</v>
      </c>
      <c r="L29" s="459">
        <v>286637</v>
      </c>
      <c r="M29" s="460">
        <v>69782</v>
      </c>
      <c r="N29" s="459">
        <v>163697</v>
      </c>
      <c r="O29" s="460">
        <v>12573</v>
      </c>
      <c r="P29" s="460">
        <v>40585</v>
      </c>
      <c r="Q29" s="459">
        <v>286637</v>
      </c>
    </row>
    <row r="30" spans="1:17" ht="15" customHeight="1">
      <c r="A30" s="158" t="s">
        <v>215</v>
      </c>
      <c r="B30" s="416">
        <v>1314</v>
      </c>
      <c r="C30" s="149">
        <v>17728</v>
      </c>
      <c r="D30" s="182">
        <v>0</v>
      </c>
      <c r="E30" s="149">
        <v>235</v>
      </c>
      <c r="F30" s="182">
        <v>19278</v>
      </c>
      <c r="G30" s="149">
        <v>19278</v>
      </c>
      <c r="H30" s="416">
        <v>19278</v>
      </c>
      <c r="I30" s="149">
        <v>17851</v>
      </c>
      <c r="J30" s="459">
        <v>816</v>
      </c>
      <c r="K30" s="460">
        <v>1672</v>
      </c>
      <c r="L30" s="459">
        <v>2489</v>
      </c>
      <c r="M30" s="460">
        <v>243</v>
      </c>
      <c r="N30" s="459">
        <v>1184</v>
      </c>
      <c r="O30" s="460">
        <v>367</v>
      </c>
      <c r="P30" s="460">
        <v>696</v>
      </c>
      <c r="Q30" s="459">
        <v>2489</v>
      </c>
    </row>
    <row r="31" spans="1:17" ht="15" customHeight="1">
      <c r="A31" s="158" t="s">
        <v>216</v>
      </c>
      <c r="B31" s="416">
        <v>12943</v>
      </c>
      <c r="C31" s="149">
        <v>72502</v>
      </c>
      <c r="D31" s="182">
        <v>1915</v>
      </c>
      <c r="E31" s="149">
        <v>1339</v>
      </c>
      <c r="F31" s="182">
        <v>88699</v>
      </c>
      <c r="G31" s="149">
        <v>86779</v>
      </c>
      <c r="H31" s="416">
        <v>88699</v>
      </c>
      <c r="I31" s="149">
        <v>82225</v>
      </c>
      <c r="J31" s="459">
        <v>113773</v>
      </c>
      <c r="K31" s="460">
        <v>13697</v>
      </c>
      <c r="L31" s="459">
        <v>127470</v>
      </c>
      <c r="M31" s="460">
        <v>-6680</v>
      </c>
      <c r="N31" s="459">
        <v>127251</v>
      </c>
      <c r="O31" s="460">
        <v>702</v>
      </c>
      <c r="P31" s="460">
        <v>6197</v>
      </c>
      <c r="Q31" s="459">
        <v>127470</v>
      </c>
    </row>
    <row r="32" spans="1:17" ht="15" customHeight="1">
      <c r="A32" s="158" t="s">
        <v>19</v>
      </c>
      <c r="B32" s="416">
        <v>74078</v>
      </c>
      <c r="C32" s="149">
        <v>822978</v>
      </c>
      <c r="D32" s="182">
        <v>15745</v>
      </c>
      <c r="E32" s="149">
        <v>22382</v>
      </c>
      <c r="F32" s="182">
        <v>935183</v>
      </c>
      <c r="G32" s="149">
        <v>919438</v>
      </c>
      <c r="H32" s="416">
        <v>935183</v>
      </c>
      <c r="I32" s="149">
        <v>910045</v>
      </c>
      <c r="J32" s="459">
        <v>56390</v>
      </c>
      <c r="K32" s="460">
        <v>120650</v>
      </c>
      <c r="L32" s="459">
        <v>177041</v>
      </c>
      <c r="M32" s="460">
        <v>-4848</v>
      </c>
      <c r="N32" s="459">
        <v>106197</v>
      </c>
      <c r="O32" s="460">
        <v>4932</v>
      </c>
      <c r="P32" s="460">
        <v>70760</v>
      </c>
      <c r="Q32" s="459">
        <v>177041</v>
      </c>
    </row>
    <row r="33" spans="1:17" ht="15" customHeight="1">
      <c r="A33" s="158" t="s">
        <v>20</v>
      </c>
      <c r="B33" s="416">
        <v>4635</v>
      </c>
      <c r="C33" s="149">
        <v>55468</v>
      </c>
      <c r="D33" s="182">
        <v>1136</v>
      </c>
      <c r="E33" s="149">
        <v>1771</v>
      </c>
      <c r="F33" s="182">
        <v>63011</v>
      </c>
      <c r="G33" s="149">
        <v>61873</v>
      </c>
      <c r="H33" s="416">
        <v>63011</v>
      </c>
      <c r="I33" s="149">
        <v>56729</v>
      </c>
      <c r="J33" s="459">
        <v>6186</v>
      </c>
      <c r="K33" s="460">
        <v>7638</v>
      </c>
      <c r="L33" s="459">
        <v>13824</v>
      </c>
      <c r="M33" s="460">
        <v>6320</v>
      </c>
      <c r="N33" s="459">
        <v>2123</v>
      </c>
      <c r="O33" s="460">
        <v>1182</v>
      </c>
      <c r="P33" s="460">
        <v>4199</v>
      </c>
      <c r="Q33" s="459">
        <v>13824</v>
      </c>
    </row>
    <row r="34" spans="1:17" ht="15" customHeight="1">
      <c r="A34" s="158" t="s">
        <v>217</v>
      </c>
      <c r="B34" s="416">
        <v>0</v>
      </c>
      <c r="C34" s="149">
        <v>0</v>
      </c>
      <c r="D34" s="182">
        <v>0</v>
      </c>
      <c r="E34" s="149">
        <v>0</v>
      </c>
      <c r="F34" s="182">
        <v>0</v>
      </c>
      <c r="G34" s="149">
        <v>0</v>
      </c>
      <c r="H34" s="416">
        <v>0</v>
      </c>
      <c r="I34" s="149">
        <v>0</v>
      </c>
      <c r="J34" s="459">
        <v>0</v>
      </c>
      <c r="K34" s="460">
        <v>0</v>
      </c>
      <c r="L34" s="459">
        <v>0</v>
      </c>
      <c r="M34" s="460">
        <v>0</v>
      </c>
      <c r="N34" s="459">
        <v>0</v>
      </c>
      <c r="O34" s="460">
        <v>0</v>
      </c>
      <c r="P34" s="460">
        <v>0</v>
      </c>
      <c r="Q34" s="459">
        <v>0</v>
      </c>
    </row>
    <row r="35" spans="1:17" ht="15" customHeight="1">
      <c r="A35" s="158" t="s">
        <v>218</v>
      </c>
      <c r="B35" s="416">
        <v>0</v>
      </c>
      <c r="C35" s="149">
        <v>0</v>
      </c>
      <c r="D35" s="182">
        <v>0</v>
      </c>
      <c r="E35" s="149">
        <v>0</v>
      </c>
      <c r="F35" s="182">
        <v>0</v>
      </c>
      <c r="G35" s="149">
        <v>0</v>
      </c>
      <c r="H35" s="416">
        <v>0</v>
      </c>
      <c r="I35" s="149">
        <v>0</v>
      </c>
      <c r="J35" s="459">
        <v>0</v>
      </c>
      <c r="K35" s="460">
        <v>0</v>
      </c>
      <c r="L35" s="459">
        <v>0</v>
      </c>
      <c r="M35" s="460">
        <v>0</v>
      </c>
      <c r="N35" s="459">
        <v>0</v>
      </c>
      <c r="O35" s="460">
        <v>0</v>
      </c>
      <c r="P35" s="460">
        <v>0</v>
      </c>
      <c r="Q35" s="459">
        <v>0</v>
      </c>
    </row>
    <row r="36" spans="1:17" ht="15" customHeight="1">
      <c r="A36" s="158"/>
      <c r="B36" s="416" t="s">
        <v>2</v>
      </c>
      <c r="C36" s="149" t="s">
        <v>2</v>
      </c>
      <c r="D36" s="182" t="s">
        <v>2</v>
      </c>
      <c r="E36" s="149" t="s">
        <v>2</v>
      </c>
      <c r="F36" s="182" t="s">
        <v>2</v>
      </c>
      <c r="G36" s="149" t="s">
        <v>2</v>
      </c>
      <c r="H36" s="416" t="s">
        <v>2</v>
      </c>
      <c r="I36" s="149" t="s">
        <v>2</v>
      </c>
      <c r="J36" s="459" t="s">
        <v>2</v>
      </c>
      <c r="K36" s="460" t="s">
        <v>2</v>
      </c>
      <c r="L36" s="459" t="s">
        <v>2</v>
      </c>
      <c r="M36" s="460" t="s">
        <v>2</v>
      </c>
      <c r="N36" s="459" t="s">
        <v>2</v>
      </c>
      <c r="O36" s="460" t="s">
        <v>2</v>
      </c>
      <c r="P36" s="460" t="s">
        <v>2</v>
      </c>
      <c r="Q36" s="459" t="s">
        <v>2</v>
      </c>
    </row>
    <row r="37" spans="1:17" ht="15" customHeight="1">
      <c r="A37" s="165" t="s">
        <v>30</v>
      </c>
      <c r="B37" s="419">
        <v>4135414</v>
      </c>
      <c r="C37" s="418">
        <v>94370473</v>
      </c>
      <c r="D37" s="417">
        <v>2815076</v>
      </c>
      <c r="E37" s="418">
        <v>1810694</v>
      </c>
      <c r="F37" s="417">
        <v>103131656</v>
      </c>
      <c r="G37" s="418">
        <v>101286707</v>
      </c>
      <c r="H37" s="419">
        <v>103131656</v>
      </c>
      <c r="I37" s="418">
        <v>101368042</v>
      </c>
      <c r="J37" s="417">
        <v>8114102</v>
      </c>
      <c r="K37" s="418">
        <v>12709558</v>
      </c>
      <c r="L37" s="417">
        <v>20823660</v>
      </c>
      <c r="M37" s="418">
        <v>2736377</v>
      </c>
      <c r="N37" s="417">
        <v>8946706</v>
      </c>
      <c r="O37" s="418">
        <v>2654506</v>
      </c>
      <c r="P37" s="418">
        <v>6486071</v>
      </c>
      <c r="Q37" s="417">
        <v>20823660</v>
      </c>
    </row>
    <row r="38" spans="1:17" ht="15" customHeight="1">
      <c r="A38" s="165"/>
      <c r="B38" s="419" t="s">
        <v>2</v>
      </c>
      <c r="C38" s="418" t="s">
        <v>2</v>
      </c>
      <c r="D38" s="417" t="s">
        <v>2</v>
      </c>
      <c r="E38" s="418" t="s">
        <v>2</v>
      </c>
      <c r="F38" s="417" t="s">
        <v>2</v>
      </c>
      <c r="G38" s="418" t="s">
        <v>2</v>
      </c>
      <c r="H38" s="419" t="s">
        <v>2</v>
      </c>
      <c r="I38" s="418" t="s">
        <v>2</v>
      </c>
      <c r="J38" s="182" t="s">
        <v>2</v>
      </c>
      <c r="K38" s="149" t="s">
        <v>2</v>
      </c>
      <c r="L38" s="182" t="s">
        <v>2</v>
      </c>
      <c r="M38" s="149" t="s">
        <v>2</v>
      </c>
      <c r="N38" s="182" t="s">
        <v>2</v>
      </c>
      <c r="O38" s="149" t="s">
        <v>2</v>
      </c>
      <c r="P38" s="149" t="s">
        <v>2</v>
      </c>
      <c r="Q38" s="182" t="s">
        <v>2</v>
      </c>
    </row>
    <row r="39" spans="1:17" ht="15" customHeight="1">
      <c r="A39" s="443" t="str">
        <f>'I-2'!A37</f>
        <v>2023.10</v>
      </c>
      <c r="B39" s="416">
        <v>4339315</v>
      </c>
      <c r="C39" s="149">
        <v>96246128</v>
      </c>
      <c r="D39" s="182">
        <v>2872175</v>
      </c>
      <c r="E39" s="149">
        <v>2264928</v>
      </c>
      <c r="F39" s="182">
        <v>105722546</v>
      </c>
      <c r="G39" s="149">
        <v>104032054</v>
      </c>
      <c r="H39" s="416">
        <v>105722546</v>
      </c>
      <c r="I39" s="149">
        <v>103353019</v>
      </c>
      <c r="J39" s="182">
        <v>8114102</v>
      </c>
      <c r="K39" s="149">
        <v>12709558</v>
      </c>
      <c r="L39" s="182">
        <v>20823660</v>
      </c>
      <c r="M39" s="149">
        <v>2736377</v>
      </c>
      <c r="N39" s="182">
        <v>8946706</v>
      </c>
      <c r="O39" s="149">
        <v>2654506</v>
      </c>
      <c r="P39" s="149">
        <v>6486071</v>
      </c>
      <c r="Q39" s="182">
        <v>20823660</v>
      </c>
    </row>
    <row r="40" spans="1:17" s="455" customFormat="1" ht="15" customHeight="1">
      <c r="A40" s="443" t="str">
        <f>'I-2'!A38</f>
        <v>2023.9</v>
      </c>
      <c r="B40" s="416">
        <v>4031081</v>
      </c>
      <c r="C40" s="149">
        <v>97796687</v>
      </c>
      <c r="D40" s="182">
        <v>3036705</v>
      </c>
      <c r="E40" s="149">
        <v>2220973</v>
      </c>
      <c r="F40" s="182">
        <v>107085446</v>
      </c>
      <c r="G40" s="149">
        <v>105246694</v>
      </c>
      <c r="H40" s="416">
        <v>107091031</v>
      </c>
      <c r="I40" s="149">
        <v>105073851</v>
      </c>
      <c r="J40" s="182">
        <v>8114102</v>
      </c>
      <c r="K40" s="149">
        <v>12709558</v>
      </c>
      <c r="L40" s="182">
        <v>20823660</v>
      </c>
      <c r="M40" s="149">
        <v>2736377</v>
      </c>
      <c r="N40" s="182">
        <v>8946706</v>
      </c>
      <c r="O40" s="149">
        <v>2654506</v>
      </c>
      <c r="P40" s="149">
        <v>6486071</v>
      </c>
      <c r="Q40" s="182">
        <v>20823660</v>
      </c>
    </row>
    <row r="41" spans="1:17" s="455" customFormat="1" ht="15" customHeight="1">
      <c r="A41" s="443" t="str">
        <f>'I-2'!A39</f>
        <v>2023.8</v>
      </c>
      <c r="B41" s="416">
        <v>3966692</v>
      </c>
      <c r="C41" s="149">
        <v>97198314</v>
      </c>
      <c r="D41" s="182">
        <v>3279077</v>
      </c>
      <c r="E41" s="149">
        <v>2118576</v>
      </c>
      <c r="F41" s="182">
        <v>106562659</v>
      </c>
      <c r="G41" s="149">
        <v>104723238</v>
      </c>
      <c r="H41" s="416">
        <v>106562659</v>
      </c>
      <c r="I41" s="149">
        <v>104408602</v>
      </c>
      <c r="J41" s="182">
        <v>5437723</v>
      </c>
      <c r="K41" s="149">
        <v>11465256</v>
      </c>
      <c r="L41" s="182">
        <v>16902979</v>
      </c>
      <c r="M41" s="149">
        <v>5636846</v>
      </c>
      <c r="N41" s="182">
        <v>5745777</v>
      </c>
      <c r="O41" s="149">
        <v>1719018</v>
      </c>
      <c r="P41" s="149">
        <v>3801577</v>
      </c>
      <c r="Q41" s="182">
        <v>16903217</v>
      </c>
    </row>
    <row r="42" spans="1:17" ht="15" customHeight="1" thickBot="1">
      <c r="A42" s="276"/>
      <c r="B42" s="421"/>
      <c r="C42" s="278"/>
      <c r="D42" s="277"/>
      <c r="E42" s="137"/>
      <c r="F42" s="279"/>
      <c r="G42" s="137"/>
      <c r="H42" s="422"/>
      <c r="I42" s="137"/>
      <c r="J42" s="277"/>
      <c r="K42" s="278"/>
      <c r="L42" s="277"/>
      <c r="M42" s="278"/>
      <c r="N42" s="277"/>
      <c r="O42" s="278"/>
      <c r="P42" s="278"/>
      <c r="Q42" s="277"/>
    </row>
    <row r="43" spans="1:17" ht="15" customHeight="1">
      <c r="A43" s="274"/>
      <c r="B43" s="104"/>
      <c r="C43" s="104"/>
      <c r="D43" s="104"/>
      <c r="E43" s="104"/>
      <c r="F43" s="104"/>
      <c r="G43" s="104"/>
      <c r="H43" s="104"/>
      <c r="I43" s="104"/>
    </row>
    <row r="44" spans="1:17" ht="15" customHeight="1">
      <c r="A44" s="8" t="s">
        <v>282</v>
      </c>
      <c r="B44" s="270"/>
      <c r="C44" s="270"/>
      <c r="D44" s="270"/>
      <c r="E44" s="270"/>
      <c r="F44" s="270"/>
      <c r="G44" s="270"/>
      <c r="H44" s="270"/>
      <c r="I44" s="270"/>
    </row>
    <row r="45" spans="1:17" ht="15" customHeight="1"/>
    <row r="46" spans="1:17" ht="15" customHeight="1"/>
  </sheetData>
  <mergeCells count="22">
    <mergeCell ref="C10:C12"/>
    <mergeCell ref="D10:D12"/>
    <mergeCell ref="E10:E12"/>
    <mergeCell ref="F10:F12"/>
    <mergeCell ref="B7:I7"/>
    <mergeCell ref="B8:G9"/>
    <mergeCell ref="H8:I9"/>
    <mergeCell ref="G10:G12"/>
    <mergeCell ref="H10:H12"/>
    <mergeCell ref="I10:I12"/>
    <mergeCell ref="B10:B12"/>
    <mergeCell ref="P10:P12"/>
    <mergeCell ref="Q10:Q12"/>
    <mergeCell ref="J7:Q7"/>
    <mergeCell ref="J8:L9"/>
    <mergeCell ref="M8:Q9"/>
    <mergeCell ref="J10:J12"/>
    <mergeCell ref="K10:K12"/>
    <mergeCell ref="L10:L12"/>
    <mergeCell ref="M10:M12"/>
    <mergeCell ref="O10:O12"/>
    <mergeCell ref="N10:N12"/>
  </mergeCells>
  <phoneticPr fontId="2" type="noConversion"/>
  <pageMargins left="0.28999999999999998" right="0.49" top="0.59" bottom="0.42" header="0.5" footer="0.24"/>
  <pageSetup paperSize="9" scale="73" orientation="landscape" r:id="rId1"/>
  <headerFooter alignWithMargins="0"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47"/>
  <sheetViews>
    <sheetView zoomScaleNormal="100" workbookViewId="0">
      <pane xSplit="1" ySplit="13" topLeftCell="B29" activePane="bottomRight" state="frozen"/>
      <selection activeCell="P22" sqref="P22"/>
      <selection pane="topRight" activeCell="P22" sqref="P22"/>
      <selection pane="bottomLeft" activeCell="P22" sqref="P22"/>
      <selection pane="bottomRight" activeCell="B15" sqref="B15:AT42"/>
    </sheetView>
  </sheetViews>
  <sheetFormatPr defaultColWidth="8.77734375" defaultRowHeight="12.95" customHeight="1"/>
  <cols>
    <col min="1" max="1" width="14.77734375" style="64" customWidth="1"/>
    <col min="2" max="46" width="11.77734375" style="59" customWidth="1"/>
    <col min="47" max="49" width="2.6640625" style="57" bestFit="1" customWidth="1"/>
    <col min="50" max="16384" width="8.77734375" style="14"/>
  </cols>
  <sheetData>
    <row r="1" spans="1:49" ht="15" customHeight="1"/>
    <row r="2" spans="1:49" ht="15" customHeight="1">
      <c r="A2" s="1" t="s">
        <v>129</v>
      </c>
      <c r="P2" s="112"/>
      <c r="S2" s="1"/>
      <c r="AH2" s="112"/>
    </row>
    <row r="3" spans="1:49" s="63" customFormat="1" ht="15" customHeight="1">
      <c r="A3" s="61" t="s">
        <v>130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111"/>
      <c r="Q3" s="62"/>
      <c r="R3" s="62"/>
      <c r="S3" s="61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F3" s="62"/>
      <c r="AG3" s="62"/>
      <c r="AH3" s="111"/>
      <c r="AJ3" s="62"/>
      <c r="AK3" s="62"/>
      <c r="AL3" s="62"/>
      <c r="AM3" s="62"/>
      <c r="AN3" s="62"/>
      <c r="AO3" s="62"/>
      <c r="AP3" s="62"/>
      <c r="AQ3" s="62"/>
      <c r="AR3" s="62"/>
      <c r="AS3" s="62"/>
      <c r="AU3" s="56"/>
      <c r="AV3" s="56"/>
      <c r="AW3" s="56"/>
    </row>
    <row r="4" spans="1:49" ht="15" customHeight="1">
      <c r="A4" s="91"/>
    </row>
    <row r="5" spans="1:49" ht="15" customHeight="1">
      <c r="A5" s="79"/>
    </row>
    <row r="6" spans="1:49" ht="15" customHeight="1" thickBot="1">
      <c r="A6" s="177" t="str">
        <f>'I-2'!A6</f>
        <v>2023. 1. 1. - 2023. 11. 30.</v>
      </c>
      <c r="B6" s="282"/>
      <c r="C6" s="282"/>
      <c r="D6" s="282"/>
      <c r="E6" s="282"/>
      <c r="F6" s="282"/>
      <c r="G6" s="282"/>
      <c r="H6" s="282"/>
      <c r="I6" s="282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2"/>
      <c r="X6" s="282"/>
      <c r="Y6" s="282"/>
      <c r="Z6" s="282"/>
      <c r="AA6" s="282"/>
      <c r="AB6" s="282"/>
      <c r="AC6" s="282"/>
      <c r="AD6" s="282"/>
      <c r="AE6" s="263"/>
      <c r="AF6" s="263"/>
      <c r="AG6" s="263"/>
      <c r="AH6" s="283"/>
      <c r="AI6" s="263"/>
      <c r="AJ6" s="263"/>
      <c r="AK6" s="263"/>
      <c r="AL6" s="263"/>
      <c r="AM6" s="263"/>
      <c r="AN6" s="282"/>
      <c r="AO6" s="263"/>
      <c r="AP6" s="263"/>
      <c r="AQ6" s="263"/>
      <c r="AR6" s="263"/>
      <c r="AS6" s="263"/>
      <c r="AT6" s="284" t="s">
        <v>81</v>
      </c>
    </row>
    <row r="7" spans="1:49" ht="15" customHeight="1">
      <c r="A7" s="306"/>
      <c r="B7" s="604" t="s">
        <v>140</v>
      </c>
      <c r="C7" s="605"/>
      <c r="D7" s="605"/>
      <c r="E7" s="605"/>
      <c r="F7" s="605"/>
      <c r="G7" s="605"/>
      <c r="H7" s="605"/>
      <c r="I7" s="605"/>
      <c r="J7" s="605"/>
      <c r="K7" s="605"/>
      <c r="L7" s="605"/>
      <c r="M7" s="605"/>
      <c r="N7" s="605"/>
      <c r="O7" s="605"/>
      <c r="P7" s="605"/>
      <c r="Q7" s="605"/>
      <c r="R7" s="605"/>
      <c r="S7" s="605"/>
      <c r="T7" s="605"/>
      <c r="U7" s="605"/>
      <c r="V7" s="606"/>
      <c r="W7" s="604" t="s">
        <v>200</v>
      </c>
      <c r="X7" s="605"/>
      <c r="Y7" s="605"/>
      <c r="Z7" s="605"/>
      <c r="AA7" s="605"/>
      <c r="AB7" s="605"/>
      <c r="AC7" s="605"/>
      <c r="AD7" s="605"/>
      <c r="AE7" s="605"/>
      <c r="AF7" s="605"/>
      <c r="AG7" s="605"/>
      <c r="AH7" s="605"/>
      <c r="AI7" s="605"/>
      <c r="AJ7" s="605"/>
      <c r="AK7" s="605"/>
      <c r="AL7" s="605"/>
      <c r="AM7" s="605"/>
      <c r="AN7" s="605"/>
      <c r="AO7" s="605"/>
      <c r="AP7" s="605"/>
      <c r="AQ7" s="605"/>
      <c r="AR7" s="605"/>
      <c r="AS7" s="605"/>
      <c r="AT7" s="605"/>
    </row>
    <row r="8" spans="1:49" ht="15" customHeight="1">
      <c r="A8" s="301"/>
      <c r="B8" s="598" t="s">
        <v>138</v>
      </c>
      <c r="C8" s="599"/>
      <c r="D8" s="599"/>
      <c r="E8" s="599"/>
      <c r="F8" s="599"/>
      <c r="G8" s="599"/>
      <c r="H8" s="599"/>
      <c r="I8" s="599"/>
      <c r="J8" s="599"/>
      <c r="K8" s="599"/>
      <c r="L8" s="599"/>
      <c r="M8" s="599"/>
      <c r="N8" s="599"/>
      <c r="O8" s="599"/>
      <c r="P8" s="600"/>
      <c r="Q8" s="598" t="s">
        <v>182</v>
      </c>
      <c r="R8" s="599"/>
      <c r="S8" s="600"/>
      <c r="T8" s="598" t="s">
        <v>198</v>
      </c>
      <c r="U8" s="599"/>
      <c r="V8" s="600"/>
      <c r="W8" s="598" t="s">
        <v>248</v>
      </c>
      <c r="X8" s="599"/>
      <c r="Y8" s="599"/>
      <c r="Z8" s="599"/>
      <c r="AA8" s="599"/>
      <c r="AB8" s="599"/>
      <c r="AC8" s="599"/>
      <c r="AD8" s="599"/>
      <c r="AE8" s="599"/>
      <c r="AF8" s="599"/>
      <c r="AG8" s="599"/>
      <c r="AH8" s="600"/>
      <c r="AI8" s="598" t="s">
        <v>202</v>
      </c>
      <c r="AJ8" s="599"/>
      <c r="AK8" s="599"/>
      <c r="AL8" s="599"/>
      <c r="AM8" s="599"/>
      <c r="AN8" s="599"/>
      <c r="AO8" s="599"/>
      <c r="AP8" s="599"/>
      <c r="AQ8" s="600"/>
      <c r="AR8" s="598" t="s">
        <v>30</v>
      </c>
      <c r="AS8" s="599"/>
      <c r="AT8" s="599"/>
    </row>
    <row r="9" spans="1:49" ht="15" customHeight="1">
      <c r="A9" s="301"/>
      <c r="B9" s="598" t="s">
        <v>135</v>
      </c>
      <c r="C9" s="599"/>
      <c r="D9" s="599"/>
      <c r="E9" s="599"/>
      <c r="F9" s="599"/>
      <c r="G9" s="600"/>
      <c r="H9" s="598" t="s">
        <v>139</v>
      </c>
      <c r="I9" s="599"/>
      <c r="J9" s="599"/>
      <c r="K9" s="599"/>
      <c r="L9" s="599"/>
      <c r="M9" s="599"/>
      <c r="N9" s="598" t="s">
        <v>33</v>
      </c>
      <c r="O9" s="599"/>
      <c r="P9" s="600"/>
      <c r="Q9" s="595" t="s">
        <v>131</v>
      </c>
      <c r="R9" s="595" t="s">
        <v>132</v>
      </c>
      <c r="S9" s="595" t="s">
        <v>33</v>
      </c>
      <c r="T9" s="595" t="s">
        <v>131</v>
      </c>
      <c r="U9" s="595" t="s">
        <v>132</v>
      </c>
      <c r="V9" s="595" t="s">
        <v>33</v>
      </c>
      <c r="W9" s="598" t="s">
        <v>246</v>
      </c>
      <c r="X9" s="599"/>
      <c r="Y9" s="600"/>
      <c r="Z9" s="598" t="s">
        <v>247</v>
      </c>
      <c r="AA9" s="599"/>
      <c r="AB9" s="600"/>
      <c r="AC9" s="598" t="s">
        <v>199</v>
      </c>
      <c r="AD9" s="599"/>
      <c r="AE9" s="600"/>
      <c r="AF9" s="598" t="s">
        <v>33</v>
      </c>
      <c r="AG9" s="599"/>
      <c r="AH9" s="600"/>
      <c r="AI9" s="598" t="s">
        <v>201</v>
      </c>
      <c r="AJ9" s="599"/>
      <c r="AK9" s="600"/>
      <c r="AL9" s="598" t="s">
        <v>199</v>
      </c>
      <c r="AM9" s="599"/>
      <c r="AN9" s="600"/>
      <c r="AO9" s="598" t="s">
        <v>33</v>
      </c>
      <c r="AP9" s="599"/>
      <c r="AQ9" s="600"/>
      <c r="AR9" s="595" t="s">
        <v>131</v>
      </c>
      <c r="AS9" s="595" t="s">
        <v>132</v>
      </c>
      <c r="AT9" s="601" t="s">
        <v>33</v>
      </c>
    </row>
    <row r="10" spans="1:49" ht="15" customHeight="1">
      <c r="A10" s="301"/>
      <c r="B10" s="538" t="s">
        <v>134</v>
      </c>
      <c r="C10" s="549"/>
      <c r="D10" s="550"/>
      <c r="E10" s="538" t="s">
        <v>133</v>
      </c>
      <c r="F10" s="549"/>
      <c r="G10" s="550"/>
      <c r="H10" s="549" t="s">
        <v>136</v>
      </c>
      <c r="I10" s="549"/>
      <c r="J10" s="550"/>
      <c r="K10" s="538" t="s">
        <v>249</v>
      </c>
      <c r="L10" s="549"/>
      <c r="M10" s="550"/>
      <c r="N10" s="501" t="s">
        <v>131</v>
      </c>
      <c r="O10" s="501" t="s">
        <v>132</v>
      </c>
      <c r="P10" s="501" t="s">
        <v>33</v>
      </c>
      <c r="Q10" s="596"/>
      <c r="R10" s="596"/>
      <c r="S10" s="596"/>
      <c r="T10" s="596"/>
      <c r="U10" s="596"/>
      <c r="V10" s="596"/>
      <c r="W10" s="501" t="s">
        <v>131</v>
      </c>
      <c r="X10" s="501" t="s">
        <v>132</v>
      </c>
      <c r="Y10" s="501" t="s">
        <v>33</v>
      </c>
      <c r="Z10" s="501" t="s">
        <v>131</v>
      </c>
      <c r="AA10" s="501" t="s">
        <v>132</v>
      </c>
      <c r="AB10" s="501" t="s">
        <v>33</v>
      </c>
      <c r="AC10" s="501" t="s">
        <v>131</v>
      </c>
      <c r="AD10" s="501" t="s">
        <v>132</v>
      </c>
      <c r="AE10" s="501" t="s">
        <v>33</v>
      </c>
      <c r="AF10" s="501" t="s">
        <v>131</v>
      </c>
      <c r="AG10" s="501" t="s">
        <v>132</v>
      </c>
      <c r="AH10" s="501" t="s">
        <v>33</v>
      </c>
      <c r="AI10" s="501" t="s">
        <v>131</v>
      </c>
      <c r="AJ10" s="501" t="s">
        <v>132</v>
      </c>
      <c r="AK10" s="501" t="s">
        <v>33</v>
      </c>
      <c r="AL10" s="501" t="s">
        <v>131</v>
      </c>
      <c r="AM10" s="501" t="s">
        <v>132</v>
      </c>
      <c r="AN10" s="501" t="s">
        <v>33</v>
      </c>
      <c r="AO10" s="501" t="s">
        <v>131</v>
      </c>
      <c r="AP10" s="501" t="s">
        <v>132</v>
      </c>
      <c r="AQ10" s="501" t="s">
        <v>33</v>
      </c>
      <c r="AR10" s="596"/>
      <c r="AS10" s="596"/>
      <c r="AT10" s="602"/>
    </row>
    <row r="11" spans="1:49" ht="15" customHeight="1">
      <c r="A11" s="301"/>
      <c r="B11" s="595" t="s">
        <v>131</v>
      </c>
      <c r="C11" s="595" t="s">
        <v>132</v>
      </c>
      <c r="D11" s="595" t="s">
        <v>33</v>
      </c>
      <c r="E11" s="595" t="s">
        <v>131</v>
      </c>
      <c r="F11" s="595" t="s">
        <v>132</v>
      </c>
      <c r="G11" s="595" t="s">
        <v>33</v>
      </c>
      <c r="H11" s="595" t="s">
        <v>131</v>
      </c>
      <c r="I11" s="595" t="s">
        <v>132</v>
      </c>
      <c r="J11" s="595" t="s">
        <v>33</v>
      </c>
      <c r="K11" s="595" t="s">
        <v>137</v>
      </c>
      <c r="L11" s="595" t="s">
        <v>132</v>
      </c>
      <c r="M11" s="595" t="s">
        <v>33</v>
      </c>
      <c r="N11" s="502"/>
      <c r="O11" s="502"/>
      <c r="P11" s="502"/>
      <c r="Q11" s="596"/>
      <c r="R11" s="596"/>
      <c r="S11" s="596"/>
      <c r="T11" s="596"/>
      <c r="U11" s="596"/>
      <c r="V11" s="596"/>
      <c r="W11" s="502"/>
      <c r="X11" s="502"/>
      <c r="Y11" s="502"/>
      <c r="Z11" s="502"/>
      <c r="AA11" s="502"/>
      <c r="AB11" s="502"/>
      <c r="AC11" s="502"/>
      <c r="AD11" s="502"/>
      <c r="AE11" s="502"/>
      <c r="AF11" s="502"/>
      <c r="AG11" s="502"/>
      <c r="AH11" s="502"/>
      <c r="AI11" s="502"/>
      <c r="AJ11" s="502"/>
      <c r="AK11" s="502"/>
      <c r="AL11" s="502"/>
      <c r="AM11" s="502"/>
      <c r="AN11" s="502"/>
      <c r="AO11" s="502"/>
      <c r="AP11" s="502"/>
      <c r="AQ11" s="502"/>
      <c r="AR11" s="596"/>
      <c r="AS11" s="596"/>
      <c r="AT11" s="602"/>
    </row>
    <row r="12" spans="1:49" ht="15" customHeight="1">
      <c r="A12" s="301"/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6"/>
      <c r="N12" s="502"/>
      <c r="O12" s="502"/>
      <c r="P12" s="502"/>
      <c r="Q12" s="596"/>
      <c r="R12" s="596"/>
      <c r="S12" s="596"/>
      <c r="T12" s="596"/>
      <c r="U12" s="596"/>
      <c r="V12" s="596"/>
      <c r="W12" s="502"/>
      <c r="X12" s="502"/>
      <c r="Y12" s="502"/>
      <c r="Z12" s="502"/>
      <c r="AA12" s="502"/>
      <c r="AB12" s="502"/>
      <c r="AC12" s="502"/>
      <c r="AD12" s="502"/>
      <c r="AE12" s="502"/>
      <c r="AF12" s="502"/>
      <c r="AG12" s="502"/>
      <c r="AH12" s="502"/>
      <c r="AI12" s="502"/>
      <c r="AJ12" s="502"/>
      <c r="AK12" s="502"/>
      <c r="AL12" s="502"/>
      <c r="AM12" s="502"/>
      <c r="AN12" s="502"/>
      <c r="AO12" s="502"/>
      <c r="AP12" s="502"/>
      <c r="AQ12" s="502"/>
      <c r="AR12" s="596"/>
      <c r="AS12" s="596"/>
      <c r="AT12" s="602"/>
    </row>
    <row r="13" spans="1:49" ht="15" customHeight="1">
      <c r="A13" s="302"/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503"/>
      <c r="O13" s="503"/>
      <c r="P13" s="503"/>
      <c r="Q13" s="597"/>
      <c r="R13" s="597"/>
      <c r="S13" s="597"/>
      <c r="T13" s="597"/>
      <c r="U13" s="597"/>
      <c r="V13" s="597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97"/>
      <c r="AS13" s="597"/>
      <c r="AT13" s="603"/>
    </row>
    <row r="14" spans="1:49" ht="15" customHeight="1">
      <c r="A14" s="285"/>
      <c r="B14" s="288"/>
      <c r="C14" s="287"/>
      <c r="D14" s="288"/>
      <c r="E14" s="287"/>
      <c r="F14" s="288"/>
      <c r="G14" s="287"/>
      <c r="H14" s="288"/>
      <c r="I14" s="287"/>
      <c r="J14" s="288"/>
      <c r="K14" s="282"/>
      <c r="L14" s="303"/>
      <c r="M14" s="288"/>
      <c r="N14" s="282"/>
      <c r="O14" s="303"/>
      <c r="P14" s="282"/>
      <c r="Q14" s="288"/>
      <c r="R14" s="282"/>
      <c r="S14" s="303"/>
      <c r="T14" s="282"/>
      <c r="U14" s="303"/>
      <c r="V14" s="287"/>
      <c r="W14" s="288"/>
      <c r="X14" s="288"/>
      <c r="Y14" s="287"/>
      <c r="Z14" s="288"/>
      <c r="AA14" s="287"/>
      <c r="AB14" s="288"/>
      <c r="AC14" s="287"/>
      <c r="AD14" s="288"/>
      <c r="AE14" s="287"/>
      <c r="AF14" s="288"/>
      <c r="AG14" s="287"/>
      <c r="AH14" s="288"/>
      <c r="AI14" s="287"/>
      <c r="AJ14" s="288"/>
      <c r="AK14" s="287"/>
      <c r="AL14" s="288"/>
      <c r="AM14" s="287"/>
      <c r="AN14" s="288"/>
      <c r="AO14" s="287"/>
      <c r="AP14" s="288"/>
      <c r="AQ14" s="287"/>
      <c r="AR14" s="288"/>
      <c r="AS14" s="287"/>
      <c r="AT14" s="286"/>
    </row>
    <row r="15" spans="1:49" ht="15" customHeight="1">
      <c r="A15" s="289" t="s">
        <v>3</v>
      </c>
      <c r="B15" s="292">
        <v>142776</v>
      </c>
      <c r="C15" s="291">
        <v>4491565</v>
      </c>
      <c r="D15" s="292">
        <v>4634341</v>
      </c>
      <c r="E15" s="291">
        <v>25206</v>
      </c>
      <c r="F15" s="292">
        <v>1469093</v>
      </c>
      <c r="G15" s="291">
        <v>1494298</v>
      </c>
      <c r="H15" s="292">
        <v>134844</v>
      </c>
      <c r="I15" s="291">
        <v>2223146</v>
      </c>
      <c r="J15" s="292">
        <v>2357990</v>
      </c>
      <c r="K15" s="291">
        <v>610</v>
      </c>
      <c r="L15" s="292">
        <v>238742</v>
      </c>
      <c r="M15" s="292">
        <v>239352</v>
      </c>
      <c r="N15" s="291">
        <v>303435</v>
      </c>
      <c r="O15" s="292">
        <v>8422547</v>
      </c>
      <c r="P15" s="291">
        <v>8725982</v>
      </c>
      <c r="Q15" s="292">
        <v>16736</v>
      </c>
      <c r="R15" s="291">
        <v>88536</v>
      </c>
      <c r="S15" s="292">
        <v>105272</v>
      </c>
      <c r="T15" s="291">
        <v>320171</v>
      </c>
      <c r="U15" s="292">
        <v>8511082</v>
      </c>
      <c r="V15" s="291">
        <v>8831253</v>
      </c>
      <c r="W15" s="292">
        <v>3258</v>
      </c>
      <c r="X15" s="292">
        <v>407004</v>
      </c>
      <c r="Y15" s="291">
        <v>410263</v>
      </c>
      <c r="Z15" s="292">
        <v>0</v>
      </c>
      <c r="AA15" s="291">
        <v>318</v>
      </c>
      <c r="AB15" s="292">
        <v>318</v>
      </c>
      <c r="AC15" s="291">
        <v>149703</v>
      </c>
      <c r="AD15" s="292">
        <v>645191</v>
      </c>
      <c r="AE15" s="291">
        <v>794894</v>
      </c>
      <c r="AF15" s="292">
        <v>152961</v>
      </c>
      <c r="AG15" s="291">
        <v>1052514</v>
      </c>
      <c r="AH15" s="292">
        <v>1205475</v>
      </c>
      <c r="AI15" s="291">
        <v>459</v>
      </c>
      <c r="AJ15" s="292">
        <v>1355566</v>
      </c>
      <c r="AK15" s="291">
        <v>1356025</v>
      </c>
      <c r="AL15" s="292">
        <v>156</v>
      </c>
      <c r="AM15" s="291">
        <v>506</v>
      </c>
      <c r="AN15" s="292">
        <v>662</v>
      </c>
      <c r="AO15" s="291">
        <v>615</v>
      </c>
      <c r="AP15" s="292">
        <v>1356071</v>
      </c>
      <c r="AQ15" s="291">
        <v>1356687</v>
      </c>
      <c r="AR15" s="292">
        <v>153576</v>
      </c>
      <c r="AS15" s="291">
        <v>2408585</v>
      </c>
      <c r="AT15" s="290">
        <v>2562161</v>
      </c>
    </row>
    <row r="16" spans="1:49" ht="15" customHeight="1">
      <c r="A16" s="289" t="s">
        <v>4</v>
      </c>
      <c r="B16" s="292">
        <v>18727</v>
      </c>
      <c r="C16" s="291">
        <v>654872</v>
      </c>
      <c r="D16" s="292">
        <v>673599</v>
      </c>
      <c r="E16" s="291">
        <v>3427</v>
      </c>
      <c r="F16" s="292">
        <v>212960</v>
      </c>
      <c r="G16" s="291">
        <v>216386</v>
      </c>
      <c r="H16" s="292">
        <v>513987</v>
      </c>
      <c r="I16" s="291">
        <v>67090</v>
      </c>
      <c r="J16" s="292">
        <v>581077</v>
      </c>
      <c r="K16" s="291">
        <v>6455</v>
      </c>
      <c r="L16" s="292">
        <v>172329</v>
      </c>
      <c r="M16" s="292">
        <v>178784</v>
      </c>
      <c r="N16" s="291">
        <v>542596</v>
      </c>
      <c r="O16" s="292">
        <v>1107250</v>
      </c>
      <c r="P16" s="291">
        <v>1649846</v>
      </c>
      <c r="Q16" s="292">
        <v>11967</v>
      </c>
      <c r="R16" s="291">
        <v>1377</v>
      </c>
      <c r="S16" s="292">
        <v>13344</v>
      </c>
      <c r="T16" s="291">
        <v>554563</v>
      </c>
      <c r="U16" s="292">
        <v>1108628</v>
      </c>
      <c r="V16" s="291">
        <v>1663190</v>
      </c>
      <c r="W16" s="292">
        <v>53</v>
      </c>
      <c r="X16" s="292">
        <v>13517</v>
      </c>
      <c r="Y16" s="291">
        <v>13570</v>
      </c>
      <c r="Z16" s="292">
        <v>0</v>
      </c>
      <c r="AA16" s="291">
        <v>15350</v>
      </c>
      <c r="AB16" s="292">
        <v>15350</v>
      </c>
      <c r="AC16" s="291">
        <v>0</v>
      </c>
      <c r="AD16" s="292">
        <v>0</v>
      </c>
      <c r="AE16" s="291">
        <v>0</v>
      </c>
      <c r="AF16" s="292">
        <v>53</v>
      </c>
      <c r="AG16" s="291">
        <v>28867</v>
      </c>
      <c r="AH16" s="292">
        <v>28920</v>
      </c>
      <c r="AI16" s="291">
        <v>5126</v>
      </c>
      <c r="AJ16" s="292">
        <v>457321</v>
      </c>
      <c r="AK16" s="291">
        <v>462447</v>
      </c>
      <c r="AL16" s="292">
        <v>0</v>
      </c>
      <c r="AM16" s="291">
        <v>0</v>
      </c>
      <c r="AN16" s="292">
        <v>0</v>
      </c>
      <c r="AO16" s="291">
        <v>5126</v>
      </c>
      <c r="AP16" s="292">
        <v>457321</v>
      </c>
      <c r="AQ16" s="291">
        <v>462447</v>
      </c>
      <c r="AR16" s="292">
        <v>5179</v>
      </c>
      <c r="AS16" s="291">
        <v>486187</v>
      </c>
      <c r="AT16" s="290">
        <v>491367</v>
      </c>
    </row>
    <row r="17" spans="1:49" ht="15" customHeight="1">
      <c r="A17" s="289" t="s">
        <v>5</v>
      </c>
      <c r="B17" s="292">
        <v>138008</v>
      </c>
      <c r="C17" s="291">
        <v>7578922</v>
      </c>
      <c r="D17" s="292">
        <v>7716930</v>
      </c>
      <c r="E17" s="291">
        <v>44876</v>
      </c>
      <c r="F17" s="292">
        <v>2405265</v>
      </c>
      <c r="G17" s="291">
        <v>2450141</v>
      </c>
      <c r="H17" s="292">
        <v>2939321</v>
      </c>
      <c r="I17" s="291">
        <v>1621269</v>
      </c>
      <c r="J17" s="292">
        <v>4560590</v>
      </c>
      <c r="K17" s="291">
        <v>64529</v>
      </c>
      <c r="L17" s="292">
        <v>301271</v>
      </c>
      <c r="M17" s="292">
        <v>365800</v>
      </c>
      <c r="N17" s="291">
        <v>3186735</v>
      </c>
      <c r="O17" s="292">
        <v>11906726</v>
      </c>
      <c r="P17" s="291">
        <v>15093461</v>
      </c>
      <c r="Q17" s="292">
        <v>40524</v>
      </c>
      <c r="R17" s="291">
        <v>344229</v>
      </c>
      <c r="S17" s="292">
        <v>384753</v>
      </c>
      <c r="T17" s="291">
        <v>3227259</v>
      </c>
      <c r="U17" s="292">
        <v>12250955</v>
      </c>
      <c r="V17" s="291">
        <v>15478214</v>
      </c>
      <c r="W17" s="292">
        <v>7719</v>
      </c>
      <c r="X17" s="292">
        <v>937431</v>
      </c>
      <c r="Y17" s="291">
        <v>945151</v>
      </c>
      <c r="Z17" s="292">
        <v>0</v>
      </c>
      <c r="AA17" s="291">
        <v>54</v>
      </c>
      <c r="AB17" s="292">
        <v>54</v>
      </c>
      <c r="AC17" s="291">
        <v>154372</v>
      </c>
      <c r="AD17" s="292">
        <v>3245085</v>
      </c>
      <c r="AE17" s="291">
        <v>3399457</v>
      </c>
      <c r="AF17" s="292">
        <v>162091</v>
      </c>
      <c r="AG17" s="291">
        <v>4182570</v>
      </c>
      <c r="AH17" s="292">
        <v>4344662</v>
      </c>
      <c r="AI17" s="291">
        <v>23475</v>
      </c>
      <c r="AJ17" s="292">
        <v>2007999</v>
      </c>
      <c r="AK17" s="291">
        <v>2031474</v>
      </c>
      <c r="AL17" s="292">
        <v>14</v>
      </c>
      <c r="AM17" s="291">
        <v>25330</v>
      </c>
      <c r="AN17" s="292">
        <v>25344</v>
      </c>
      <c r="AO17" s="291">
        <v>23490</v>
      </c>
      <c r="AP17" s="292">
        <v>2033328</v>
      </c>
      <c r="AQ17" s="291">
        <v>2056818</v>
      </c>
      <c r="AR17" s="292">
        <v>185581</v>
      </c>
      <c r="AS17" s="291">
        <v>6215899</v>
      </c>
      <c r="AT17" s="290">
        <v>6401480</v>
      </c>
    </row>
    <row r="18" spans="1:49" ht="15" customHeight="1">
      <c r="A18" s="289" t="s">
        <v>6</v>
      </c>
      <c r="B18" s="292">
        <v>11830</v>
      </c>
      <c r="C18" s="291">
        <v>683741</v>
      </c>
      <c r="D18" s="292">
        <v>695572</v>
      </c>
      <c r="E18" s="291">
        <v>1242</v>
      </c>
      <c r="F18" s="292">
        <v>727214</v>
      </c>
      <c r="G18" s="291">
        <v>728456</v>
      </c>
      <c r="H18" s="292">
        <v>9055</v>
      </c>
      <c r="I18" s="291">
        <v>41877</v>
      </c>
      <c r="J18" s="292">
        <v>50933</v>
      </c>
      <c r="K18" s="291">
        <v>283119</v>
      </c>
      <c r="L18" s="292">
        <v>325001</v>
      </c>
      <c r="M18" s="292">
        <v>608120</v>
      </c>
      <c r="N18" s="291">
        <v>305247</v>
      </c>
      <c r="O18" s="292">
        <v>1777833</v>
      </c>
      <c r="P18" s="291">
        <v>2083080</v>
      </c>
      <c r="Q18" s="292">
        <v>5</v>
      </c>
      <c r="R18" s="291">
        <v>1238</v>
      </c>
      <c r="S18" s="292">
        <v>1243</v>
      </c>
      <c r="T18" s="291">
        <v>305252</v>
      </c>
      <c r="U18" s="292">
        <v>1779071</v>
      </c>
      <c r="V18" s="291">
        <v>2084323</v>
      </c>
      <c r="W18" s="292">
        <v>3</v>
      </c>
      <c r="X18" s="292">
        <v>16033</v>
      </c>
      <c r="Y18" s="291">
        <v>16037</v>
      </c>
      <c r="Z18" s="292">
        <v>0</v>
      </c>
      <c r="AA18" s="291">
        <v>3376</v>
      </c>
      <c r="AB18" s="292">
        <v>3376</v>
      </c>
      <c r="AC18" s="291">
        <v>556234</v>
      </c>
      <c r="AD18" s="292">
        <v>26131</v>
      </c>
      <c r="AE18" s="291">
        <v>582365</v>
      </c>
      <c r="AF18" s="292">
        <v>556237</v>
      </c>
      <c r="AG18" s="291">
        <v>45540</v>
      </c>
      <c r="AH18" s="292">
        <v>601778</v>
      </c>
      <c r="AI18" s="291">
        <v>7947</v>
      </c>
      <c r="AJ18" s="292">
        <v>176006</v>
      </c>
      <c r="AK18" s="291">
        <v>183952</v>
      </c>
      <c r="AL18" s="292">
        <v>1639</v>
      </c>
      <c r="AM18" s="291">
        <v>1584</v>
      </c>
      <c r="AN18" s="292">
        <v>3223</v>
      </c>
      <c r="AO18" s="291">
        <v>9586</v>
      </c>
      <c r="AP18" s="292">
        <v>177590</v>
      </c>
      <c r="AQ18" s="291">
        <v>187175</v>
      </c>
      <c r="AR18" s="292">
        <v>565823</v>
      </c>
      <c r="AS18" s="291">
        <v>223130</v>
      </c>
      <c r="AT18" s="290">
        <v>788953</v>
      </c>
    </row>
    <row r="19" spans="1:49" ht="15" customHeight="1">
      <c r="A19" s="289" t="s">
        <v>7</v>
      </c>
      <c r="B19" s="292">
        <v>60273</v>
      </c>
      <c r="C19" s="291">
        <v>3523689</v>
      </c>
      <c r="D19" s="292">
        <v>3583962</v>
      </c>
      <c r="E19" s="291">
        <v>19990</v>
      </c>
      <c r="F19" s="292">
        <v>934505</v>
      </c>
      <c r="G19" s="291">
        <v>954495</v>
      </c>
      <c r="H19" s="292">
        <v>3879910</v>
      </c>
      <c r="I19" s="291">
        <v>848174</v>
      </c>
      <c r="J19" s="292">
        <v>4728083</v>
      </c>
      <c r="K19" s="291">
        <v>3215</v>
      </c>
      <c r="L19" s="292">
        <v>643210</v>
      </c>
      <c r="M19" s="292">
        <v>646424</v>
      </c>
      <c r="N19" s="291">
        <v>3963388</v>
      </c>
      <c r="O19" s="292">
        <v>5949577</v>
      </c>
      <c r="P19" s="291">
        <v>9912964</v>
      </c>
      <c r="Q19" s="292">
        <v>23932</v>
      </c>
      <c r="R19" s="291">
        <v>115782</v>
      </c>
      <c r="S19" s="292">
        <v>139714</v>
      </c>
      <c r="T19" s="291">
        <v>3987320</v>
      </c>
      <c r="U19" s="292">
        <v>6065358</v>
      </c>
      <c r="V19" s="291">
        <v>10052678</v>
      </c>
      <c r="W19" s="292">
        <v>1490</v>
      </c>
      <c r="X19" s="292">
        <v>282281</v>
      </c>
      <c r="Y19" s="291">
        <v>283770</v>
      </c>
      <c r="Z19" s="292">
        <v>0</v>
      </c>
      <c r="AA19" s="291">
        <v>4</v>
      </c>
      <c r="AB19" s="292">
        <v>4</v>
      </c>
      <c r="AC19" s="291">
        <v>463577</v>
      </c>
      <c r="AD19" s="292">
        <v>1490469</v>
      </c>
      <c r="AE19" s="291">
        <v>1954047</v>
      </c>
      <c r="AF19" s="292">
        <v>465067</v>
      </c>
      <c r="AG19" s="291">
        <v>1772754</v>
      </c>
      <c r="AH19" s="292">
        <v>2237821</v>
      </c>
      <c r="AI19" s="291">
        <v>3894</v>
      </c>
      <c r="AJ19" s="292">
        <v>1437806</v>
      </c>
      <c r="AK19" s="291">
        <v>1441700</v>
      </c>
      <c r="AL19" s="292">
        <v>149</v>
      </c>
      <c r="AM19" s="291">
        <v>16295</v>
      </c>
      <c r="AN19" s="292">
        <v>16444</v>
      </c>
      <c r="AO19" s="291">
        <v>4044</v>
      </c>
      <c r="AP19" s="292">
        <v>1454101</v>
      </c>
      <c r="AQ19" s="291">
        <v>1458144</v>
      </c>
      <c r="AR19" s="292">
        <v>469111</v>
      </c>
      <c r="AS19" s="291">
        <v>3226855</v>
      </c>
      <c r="AT19" s="290">
        <v>3695965</v>
      </c>
    </row>
    <row r="20" spans="1:49" ht="15" customHeight="1">
      <c r="A20" s="289" t="s">
        <v>8</v>
      </c>
      <c r="B20" s="292">
        <v>17599</v>
      </c>
      <c r="C20" s="291">
        <v>320287</v>
      </c>
      <c r="D20" s="292">
        <v>337886</v>
      </c>
      <c r="E20" s="291">
        <v>1403</v>
      </c>
      <c r="F20" s="292">
        <v>70708</v>
      </c>
      <c r="G20" s="291">
        <v>72111</v>
      </c>
      <c r="H20" s="292">
        <v>1556</v>
      </c>
      <c r="I20" s="291">
        <v>31763</v>
      </c>
      <c r="J20" s="292">
        <v>33319</v>
      </c>
      <c r="K20" s="291">
        <v>124</v>
      </c>
      <c r="L20" s="292">
        <v>56264</v>
      </c>
      <c r="M20" s="292">
        <v>56388</v>
      </c>
      <c r="N20" s="291">
        <v>20681</v>
      </c>
      <c r="O20" s="292">
        <v>479023</v>
      </c>
      <c r="P20" s="291">
        <v>499704</v>
      </c>
      <c r="Q20" s="292">
        <v>3424</v>
      </c>
      <c r="R20" s="291">
        <v>1673</v>
      </c>
      <c r="S20" s="292">
        <v>5097</v>
      </c>
      <c r="T20" s="291">
        <v>24106</v>
      </c>
      <c r="U20" s="292">
        <v>480695</v>
      </c>
      <c r="V20" s="291">
        <v>504801</v>
      </c>
      <c r="W20" s="292">
        <v>0</v>
      </c>
      <c r="X20" s="292">
        <v>2237</v>
      </c>
      <c r="Y20" s="291">
        <v>2237</v>
      </c>
      <c r="Z20" s="292">
        <v>0</v>
      </c>
      <c r="AA20" s="291">
        <v>0</v>
      </c>
      <c r="AB20" s="292">
        <v>0</v>
      </c>
      <c r="AC20" s="291">
        <v>0</v>
      </c>
      <c r="AD20" s="292">
        <v>0</v>
      </c>
      <c r="AE20" s="291">
        <v>0</v>
      </c>
      <c r="AF20" s="292">
        <v>0</v>
      </c>
      <c r="AG20" s="291">
        <v>2237</v>
      </c>
      <c r="AH20" s="292">
        <v>2237</v>
      </c>
      <c r="AI20" s="291">
        <v>59435</v>
      </c>
      <c r="AJ20" s="292">
        <v>251919</v>
      </c>
      <c r="AK20" s="291">
        <v>311354</v>
      </c>
      <c r="AL20" s="292">
        <v>0</v>
      </c>
      <c r="AM20" s="291">
        <v>0</v>
      </c>
      <c r="AN20" s="292">
        <v>0</v>
      </c>
      <c r="AO20" s="291">
        <v>59435</v>
      </c>
      <c r="AP20" s="292">
        <v>251919</v>
      </c>
      <c r="AQ20" s="291">
        <v>311354</v>
      </c>
      <c r="AR20" s="292">
        <v>59435</v>
      </c>
      <c r="AS20" s="291">
        <v>254156</v>
      </c>
      <c r="AT20" s="290">
        <v>313591</v>
      </c>
    </row>
    <row r="21" spans="1:49" ht="15" customHeight="1">
      <c r="A21" s="289" t="s">
        <v>9</v>
      </c>
      <c r="B21" s="292">
        <v>11480</v>
      </c>
      <c r="C21" s="291">
        <v>810515</v>
      </c>
      <c r="D21" s="292">
        <v>821995</v>
      </c>
      <c r="E21" s="291">
        <v>2655</v>
      </c>
      <c r="F21" s="292">
        <v>348543</v>
      </c>
      <c r="G21" s="291">
        <v>351198</v>
      </c>
      <c r="H21" s="292">
        <v>0</v>
      </c>
      <c r="I21" s="291">
        <v>47578</v>
      </c>
      <c r="J21" s="292">
        <v>47578</v>
      </c>
      <c r="K21" s="291">
        <v>0</v>
      </c>
      <c r="L21" s="292">
        <v>20631</v>
      </c>
      <c r="M21" s="292">
        <v>20631</v>
      </c>
      <c r="N21" s="291">
        <v>14135</v>
      </c>
      <c r="O21" s="292">
        <v>1227267</v>
      </c>
      <c r="P21" s="291">
        <v>1241402</v>
      </c>
      <c r="Q21" s="292">
        <v>33</v>
      </c>
      <c r="R21" s="291">
        <v>13665</v>
      </c>
      <c r="S21" s="292">
        <v>13698</v>
      </c>
      <c r="T21" s="291">
        <v>14168</v>
      </c>
      <c r="U21" s="292">
        <v>1240932</v>
      </c>
      <c r="V21" s="291">
        <v>1255100</v>
      </c>
      <c r="W21" s="292">
        <v>0</v>
      </c>
      <c r="X21" s="292">
        <v>42229</v>
      </c>
      <c r="Y21" s="291">
        <v>42229</v>
      </c>
      <c r="Z21" s="292">
        <v>0</v>
      </c>
      <c r="AA21" s="291">
        <v>1422</v>
      </c>
      <c r="AB21" s="292">
        <v>1422</v>
      </c>
      <c r="AC21" s="291">
        <v>91431</v>
      </c>
      <c r="AD21" s="292">
        <v>458314</v>
      </c>
      <c r="AE21" s="291">
        <v>549745</v>
      </c>
      <c r="AF21" s="292">
        <v>91431</v>
      </c>
      <c r="AG21" s="291">
        <v>501965</v>
      </c>
      <c r="AH21" s="292">
        <v>593396</v>
      </c>
      <c r="AI21" s="291">
        <v>98827</v>
      </c>
      <c r="AJ21" s="292">
        <v>1217306</v>
      </c>
      <c r="AK21" s="291">
        <v>1316133</v>
      </c>
      <c r="AL21" s="292">
        <v>4324</v>
      </c>
      <c r="AM21" s="291">
        <v>23175</v>
      </c>
      <c r="AN21" s="292">
        <v>27499</v>
      </c>
      <c r="AO21" s="291">
        <v>103151</v>
      </c>
      <c r="AP21" s="292">
        <v>1240481</v>
      </c>
      <c r="AQ21" s="291">
        <v>1343632</v>
      </c>
      <c r="AR21" s="292">
        <v>194582</v>
      </c>
      <c r="AS21" s="291">
        <v>1742446</v>
      </c>
      <c r="AT21" s="290">
        <v>1937028</v>
      </c>
    </row>
    <row r="22" spans="1:49" ht="15" customHeight="1">
      <c r="A22" s="289" t="s">
        <v>10</v>
      </c>
      <c r="B22" s="292">
        <v>15330</v>
      </c>
      <c r="C22" s="291">
        <v>796293</v>
      </c>
      <c r="D22" s="292">
        <v>811623</v>
      </c>
      <c r="E22" s="291">
        <v>3299</v>
      </c>
      <c r="F22" s="292">
        <v>292807</v>
      </c>
      <c r="G22" s="291">
        <v>296106</v>
      </c>
      <c r="H22" s="292">
        <v>53</v>
      </c>
      <c r="I22" s="291">
        <v>307743</v>
      </c>
      <c r="J22" s="292">
        <v>307796</v>
      </c>
      <c r="K22" s="291">
        <v>-7551</v>
      </c>
      <c r="L22" s="292">
        <v>232724</v>
      </c>
      <c r="M22" s="292">
        <v>225173</v>
      </c>
      <c r="N22" s="291">
        <v>11130</v>
      </c>
      <c r="O22" s="292">
        <v>1629567</v>
      </c>
      <c r="P22" s="291">
        <v>1640698</v>
      </c>
      <c r="Q22" s="292">
        <v>259</v>
      </c>
      <c r="R22" s="291">
        <v>10692</v>
      </c>
      <c r="S22" s="292">
        <v>10951</v>
      </c>
      <c r="T22" s="291">
        <v>11390</v>
      </c>
      <c r="U22" s="292">
        <v>1640259</v>
      </c>
      <c r="V22" s="291">
        <v>1651649</v>
      </c>
      <c r="W22" s="292">
        <v>276</v>
      </c>
      <c r="X22" s="292">
        <v>41971</v>
      </c>
      <c r="Y22" s="291">
        <v>42247</v>
      </c>
      <c r="Z22" s="292">
        <v>0</v>
      </c>
      <c r="AA22" s="291">
        <v>5810</v>
      </c>
      <c r="AB22" s="292">
        <v>5810</v>
      </c>
      <c r="AC22" s="291">
        <v>0</v>
      </c>
      <c r="AD22" s="292">
        <v>0</v>
      </c>
      <c r="AE22" s="291">
        <v>0</v>
      </c>
      <c r="AF22" s="292">
        <v>276</v>
      </c>
      <c r="AG22" s="291">
        <v>47781</v>
      </c>
      <c r="AH22" s="292">
        <v>48057</v>
      </c>
      <c r="AI22" s="291">
        <v>6760</v>
      </c>
      <c r="AJ22" s="292">
        <v>177970</v>
      </c>
      <c r="AK22" s="291">
        <v>184731</v>
      </c>
      <c r="AL22" s="292">
        <v>0</v>
      </c>
      <c r="AM22" s="291">
        <v>0</v>
      </c>
      <c r="AN22" s="292">
        <v>0</v>
      </c>
      <c r="AO22" s="291">
        <v>6760</v>
      </c>
      <c r="AP22" s="292">
        <v>177970</v>
      </c>
      <c r="AQ22" s="291">
        <v>184731</v>
      </c>
      <c r="AR22" s="292">
        <v>7037</v>
      </c>
      <c r="AS22" s="291">
        <v>225751</v>
      </c>
      <c r="AT22" s="290">
        <v>232788</v>
      </c>
    </row>
    <row r="23" spans="1:49" ht="15" customHeight="1">
      <c r="A23" s="289" t="s">
        <v>11</v>
      </c>
      <c r="B23" s="292">
        <v>28391</v>
      </c>
      <c r="C23" s="291">
        <v>927962</v>
      </c>
      <c r="D23" s="292">
        <v>956352</v>
      </c>
      <c r="E23" s="291">
        <v>7141</v>
      </c>
      <c r="F23" s="292">
        <v>436316</v>
      </c>
      <c r="G23" s="291">
        <v>443457</v>
      </c>
      <c r="H23" s="292">
        <v>2177</v>
      </c>
      <c r="I23" s="291">
        <v>25543</v>
      </c>
      <c r="J23" s="292">
        <v>27720</v>
      </c>
      <c r="K23" s="291">
        <v>1</v>
      </c>
      <c r="L23" s="292">
        <v>25876</v>
      </c>
      <c r="M23" s="292">
        <v>25876</v>
      </c>
      <c r="N23" s="291">
        <v>37709</v>
      </c>
      <c r="O23" s="292">
        <v>1415697</v>
      </c>
      <c r="P23" s="291">
        <v>1453406</v>
      </c>
      <c r="Q23" s="292">
        <v>0</v>
      </c>
      <c r="R23" s="291">
        <v>57</v>
      </c>
      <c r="S23" s="292">
        <v>57</v>
      </c>
      <c r="T23" s="291">
        <v>37709</v>
      </c>
      <c r="U23" s="292">
        <v>1415754</v>
      </c>
      <c r="V23" s="291">
        <v>1453463</v>
      </c>
      <c r="W23" s="292">
        <v>0</v>
      </c>
      <c r="X23" s="292">
        <v>298</v>
      </c>
      <c r="Y23" s="291">
        <v>298</v>
      </c>
      <c r="Z23" s="292">
        <v>0</v>
      </c>
      <c r="AA23" s="291">
        <v>708</v>
      </c>
      <c r="AB23" s="292">
        <v>708</v>
      </c>
      <c r="AC23" s="291">
        <v>9566</v>
      </c>
      <c r="AD23" s="292">
        <v>46259</v>
      </c>
      <c r="AE23" s="291">
        <v>55825</v>
      </c>
      <c r="AF23" s="292">
        <v>9566</v>
      </c>
      <c r="AG23" s="291">
        <v>47265</v>
      </c>
      <c r="AH23" s="292">
        <v>56831</v>
      </c>
      <c r="AI23" s="291">
        <v>28</v>
      </c>
      <c r="AJ23" s="292">
        <v>195200</v>
      </c>
      <c r="AK23" s="291">
        <v>195228</v>
      </c>
      <c r="AL23" s="292">
        <v>0</v>
      </c>
      <c r="AM23" s="291">
        <v>0</v>
      </c>
      <c r="AN23" s="292">
        <v>0</v>
      </c>
      <c r="AO23" s="291">
        <v>28</v>
      </c>
      <c r="AP23" s="292">
        <v>195200</v>
      </c>
      <c r="AQ23" s="291">
        <v>195228</v>
      </c>
      <c r="AR23" s="292">
        <v>9594</v>
      </c>
      <c r="AS23" s="291">
        <v>242465</v>
      </c>
      <c r="AT23" s="290">
        <v>252059</v>
      </c>
    </row>
    <row r="24" spans="1:49" ht="15" customHeight="1">
      <c r="A24" s="289" t="s">
        <v>12</v>
      </c>
      <c r="B24" s="295">
        <v>41690</v>
      </c>
      <c r="C24" s="294">
        <v>1251356</v>
      </c>
      <c r="D24" s="295">
        <v>1293046</v>
      </c>
      <c r="E24" s="294">
        <v>19697</v>
      </c>
      <c r="F24" s="295">
        <v>915997</v>
      </c>
      <c r="G24" s="294">
        <v>935695</v>
      </c>
      <c r="H24" s="295">
        <v>436993</v>
      </c>
      <c r="I24" s="294">
        <v>230445</v>
      </c>
      <c r="J24" s="295">
        <v>667437</v>
      </c>
      <c r="K24" s="294">
        <v>-7138</v>
      </c>
      <c r="L24" s="295">
        <v>412162</v>
      </c>
      <c r="M24" s="295">
        <v>405025</v>
      </c>
      <c r="N24" s="294">
        <v>491243</v>
      </c>
      <c r="O24" s="295">
        <v>2809960</v>
      </c>
      <c r="P24" s="294">
        <v>3301203</v>
      </c>
      <c r="Q24" s="295">
        <v>0</v>
      </c>
      <c r="R24" s="294">
        <v>623</v>
      </c>
      <c r="S24" s="295">
        <v>623</v>
      </c>
      <c r="T24" s="294">
        <v>491243</v>
      </c>
      <c r="U24" s="295">
        <v>2810582</v>
      </c>
      <c r="V24" s="294">
        <v>3301825</v>
      </c>
      <c r="W24" s="295">
        <v>171</v>
      </c>
      <c r="X24" s="295">
        <v>22931</v>
      </c>
      <c r="Y24" s="294">
        <v>23102</v>
      </c>
      <c r="Z24" s="295">
        <v>0</v>
      </c>
      <c r="AA24" s="294">
        <v>92</v>
      </c>
      <c r="AB24" s="295">
        <v>92</v>
      </c>
      <c r="AC24" s="294">
        <v>13906</v>
      </c>
      <c r="AD24" s="295">
        <v>504114</v>
      </c>
      <c r="AE24" s="294">
        <v>518019</v>
      </c>
      <c r="AF24" s="295">
        <v>14077</v>
      </c>
      <c r="AG24" s="294">
        <v>527137</v>
      </c>
      <c r="AH24" s="295">
        <v>541213</v>
      </c>
      <c r="AI24" s="294">
        <v>97</v>
      </c>
      <c r="AJ24" s="295">
        <v>121834</v>
      </c>
      <c r="AK24" s="294">
        <v>121931</v>
      </c>
      <c r="AL24" s="295">
        <v>0</v>
      </c>
      <c r="AM24" s="294">
        <v>850</v>
      </c>
      <c r="AN24" s="295">
        <v>850</v>
      </c>
      <c r="AO24" s="294">
        <v>97</v>
      </c>
      <c r="AP24" s="295">
        <v>122683</v>
      </c>
      <c r="AQ24" s="294">
        <v>122781</v>
      </c>
      <c r="AR24" s="295">
        <v>14174</v>
      </c>
      <c r="AS24" s="294">
        <v>649820</v>
      </c>
      <c r="AT24" s="293">
        <v>663994</v>
      </c>
    </row>
    <row r="25" spans="1:49" ht="15" customHeight="1">
      <c r="A25" s="289" t="s">
        <v>13</v>
      </c>
      <c r="B25" s="295">
        <v>29737</v>
      </c>
      <c r="C25" s="294">
        <v>891263</v>
      </c>
      <c r="D25" s="295">
        <v>920999</v>
      </c>
      <c r="E25" s="294">
        <v>423</v>
      </c>
      <c r="F25" s="295">
        <v>99222</v>
      </c>
      <c r="G25" s="294">
        <v>99645</v>
      </c>
      <c r="H25" s="295">
        <v>788</v>
      </c>
      <c r="I25" s="294">
        <v>24144</v>
      </c>
      <c r="J25" s="295">
        <v>24933</v>
      </c>
      <c r="K25" s="294">
        <v>0</v>
      </c>
      <c r="L25" s="295">
        <v>6967</v>
      </c>
      <c r="M25" s="295">
        <v>6967</v>
      </c>
      <c r="N25" s="294">
        <v>30948</v>
      </c>
      <c r="O25" s="295">
        <v>1021595</v>
      </c>
      <c r="P25" s="294">
        <v>1052544</v>
      </c>
      <c r="Q25" s="295">
        <v>0</v>
      </c>
      <c r="R25" s="294">
        <v>3</v>
      </c>
      <c r="S25" s="295">
        <v>3</v>
      </c>
      <c r="T25" s="294">
        <v>30948</v>
      </c>
      <c r="U25" s="295">
        <v>1021599</v>
      </c>
      <c r="V25" s="294">
        <v>1052547</v>
      </c>
      <c r="W25" s="295">
        <v>0</v>
      </c>
      <c r="X25" s="295">
        <v>7</v>
      </c>
      <c r="Y25" s="294">
        <v>7</v>
      </c>
      <c r="Z25" s="295">
        <v>239789</v>
      </c>
      <c r="AA25" s="294">
        <v>1934</v>
      </c>
      <c r="AB25" s="295">
        <v>241723</v>
      </c>
      <c r="AC25" s="294">
        <v>0</v>
      </c>
      <c r="AD25" s="295">
        <v>0</v>
      </c>
      <c r="AE25" s="294">
        <v>0</v>
      </c>
      <c r="AF25" s="295">
        <v>241180</v>
      </c>
      <c r="AG25" s="294">
        <v>5065</v>
      </c>
      <c r="AH25" s="295">
        <v>246245</v>
      </c>
      <c r="AI25" s="294">
        <v>75255</v>
      </c>
      <c r="AJ25" s="295">
        <v>1656821</v>
      </c>
      <c r="AK25" s="294">
        <v>1732076</v>
      </c>
      <c r="AL25" s="295">
        <v>0</v>
      </c>
      <c r="AM25" s="294">
        <v>0</v>
      </c>
      <c r="AN25" s="295">
        <v>0</v>
      </c>
      <c r="AO25" s="294">
        <v>75255</v>
      </c>
      <c r="AP25" s="295">
        <v>1656821</v>
      </c>
      <c r="AQ25" s="294">
        <v>1732076</v>
      </c>
      <c r="AR25" s="295">
        <v>316435</v>
      </c>
      <c r="AS25" s="294">
        <v>1661886</v>
      </c>
      <c r="AT25" s="293">
        <v>1978321</v>
      </c>
    </row>
    <row r="26" spans="1:49" ht="15" customHeight="1">
      <c r="A26" s="289" t="s">
        <v>36</v>
      </c>
      <c r="B26" s="292">
        <v>43904</v>
      </c>
      <c r="C26" s="291">
        <v>1708017</v>
      </c>
      <c r="D26" s="292">
        <v>1751922</v>
      </c>
      <c r="E26" s="291">
        <v>431</v>
      </c>
      <c r="F26" s="292">
        <v>63956</v>
      </c>
      <c r="G26" s="291">
        <v>64387</v>
      </c>
      <c r="H26" s="292">
        <v>8355</v>
      </c>
      <c r="I26" s="291">
        <v>601148</v>
      </c>
      <c r="J26" s="292">
        <v>609503</v>
      </c>
      <c r="K26" s="291">
        <v>21853</v>
      </c>
      <c r="L26" s="292">
        <v>15002</v>
      </c>
      <c r="M26" s="292">
        <v>36855</v>
      </c>
      <c r="N26" s="291">
        <v>74543</v>
      </c>
      <c r="O26" s="292">
        <v>2388124</v>
      </c>
      <c r="P26" s="291">
        <v>2462667</v>
      </c>
      <c r="Q26" s="292">
        <v>1379</v>
      </c>
      <c r="R26" s="291">
        <v>0</v>
      </c>
      <c r="S26" s="292">
        <v>1379</v>
      </c>
      <c r="T26" s="291">
        <v>75922</v>
      </c>
      <c r="U26" s="292">
        <v>2388125</v>
      </c>
      <c r="V26" s="291">
        <v>2464046</v>
      </c>
      <c r="W26" s="292">
        <v>0</v>
      </c>
      <c r="X26" s="292">
        <v>8172</v>
      </c>
      <c r="Y26" s="291">
        <v>8172</v>
      </c>
      <c r="Z26" s="292">
        <v>0</v>
      </c>
      <c r="AA26" s="291">
        <v>968</v>
      </c>
      <c r="AB26" s="292">
        <v>968</v>
      </c>
      <c r="AC26" s="291">
        <v>16849</v>
      </c>
      <c r="AD26" s="292">
        <v>270026</v>
      </c>
      <c r="AE26" s="291">
        <v>286876</v>
      </c>
      <c r="AF26" s="292">
        <v>16973</v>
      </c>
      <c r="AG26" s="291">
        <v>279409</v>
      </c>
      <c r="AH26" s="292">
        <v>296382</v>
      </c>
      <c r="AI26" s="291">
        <v>57699</v>
      </c>
      <c r="AJ26" s="292">
        <v>743339</v>
      </c>
      <c r="AK26" s="291">
        <v>801038</v>
      </c>
      <c r="AL26" s="292">
        <v>0</v>
      </c>
      <c r="AM26" s="291">
        <v>0</v>
      </c>
      <c r="AN26" s="292">
        <v>0</v>
      </c>
      <c r="AO26" s="291">
        <v>57699</v>
      </c>
      <c r="AP26" s="292">
        <v>743339</v>
      </c>
      <c r="AQ26" s="291">
        <v>801038</v>
      </c>
      <c r="AR26" s="292">
        <v>74672</v>
      </c>
      <c r="AS26" s="291">
        <v>1022748</v>
      </c>
      <c r="AT26" s="290">
        <v>1097420</v>
      </c>
    </row>
    <row r="27" spans="1:49" s="16" customFormat="1" ht="15" customHeight="1">
      <c r="A27" s="296" t="s">
        <v>37</v>
      </c>
      <c r="B27" s="292">
        <v>53537</v>
      </c>
      <c r="C27" s="291">
        <v>2888909</v>
      </c>
      <c r="D27" s="292">
        <v>2942447</v>
      </c>
      <c r="E27" s="291">
        <v>15682</v>
      </c>
      <c r="F27" s="292">
        <v>1400212</v>
      </c>
      <c r="G27" s="291">
        <v>1415894</v>
      </c>
      <c r="H27" s="292">
        <v>25150</v>
      </c>
      <c r="I27" s="291">
        <v>429019</v>
      </c>
      <c r="J27" s="292">
        <v>454169</v>
      </c>
      <c r="K27" s="291">
        <v>326</v>
      </c>
      <c r="L27" s="292">
        <v>276373</v>
      </c>
      <c r="M27" s="292">
        <v>276699</v>
      </c>
      <c r="N27" s="291">
        <v>94694</v>
      </c>
      <c r="O27" s="292">
        <v>4994514</v>
      </c>
      <c r="P27" s="291">
        <v>5089208</v>
      </c>
      <c r="Q27" s="292">
        <v>393</v>
      </c>
      <c r="R27" s="291">
        <v>1669</v>
      </c>
      <c r="S27" s="292">
        <v>2062</v>
      </c>
      <c r="T27" s="291">
        <v>95088</v>
      </c>
      <c r="U27" s="292">
        <v>4996183</v>
      </c>
      <c r="V27" s="291">
        <v>5091271</v>
      </c>
      <c r="W27" s="292">
        <v>183</v>
      </c>
      <c r="X27" s="292">
        <v>38095</v>
      </c>
      <c r="Y27" s="291">
        <v>38278</v>
      </c>
      <c r="Z27" s="292">
        <v>20930</v>
      </c>
      <c r="AA27" s="291">
        <v>17109</v>
      </c>
      <c r="AB27" s="292">
        <v>38039</v>
      </c>
      <c r="AC27" s="291">
        <v>390340</v>
      </c>
      <c r="AD27" s="292">
        <v>103376</v>
      </c>
      <c r="AE27" s="291">
        <v>493717</v>
      </c>
      <c r="AF27" s="292">
        <v>411452</v>
      </c>
      <c r="AG27" s="291">
        <v>158581</v>
      </c>
      <c r="AH27" s="292">
        <v>570034</v>
      </c>
      <c r="AI27" s="291">
        <v>7962</v>
      </c>
      <c r="AJ27" s="292">
        <v>453308</v>
      </c>
      <c r="AK27" s="291">
        <v>461270</v>
      </c>
      <c r="AL27" s="292">
        <v>440</v>
      </c>
      <c r="AM27" s="291">
        <v>1216</v>
      </c>
      <c r="AN27" s="292">
        <v>1656</v>
      </c>
      <c r="AO27" s="291">
        <v>8402</v>
      </c>
      <c r="AP27" s="292">
        <v>454524</v>
      </c>
      <c r="AQ27" s="291">
        <v>462926</v>
      </c>
      <c r="AR27" s="292">
        <v>419854</v>
      </c>
      <c r="AS27" s="291">
        <v>613105</v>
      </c>
      <c r="AT27" s="290">
        <v>1032960</v>
      </c>
      <c r="AU27" s="85"/>
      <c r="AV27" s="85"/>
      <c r="AW27" s="85"/>
    </row>
    <row r="28" spans="1:49" ht="15" customHeight="1">
      <c r="A28" s="289" t="s">
        <v>14</v>
      </c>
      <c r="B28" s="292">
        <v>1303</v>
      </c>
      <c r="C28" s="291">
        <v>90489</v>
      </c>
      <c r="D28" s="292">
        <v>91792</v>
      </c>
      <c r="E28" s="291">
        <v>7</v>
      </c>
      <c r="F28" s="292">
        <v>18249</v>
      </c>
      <c r="G28" s="291">
        <v>18255</v>
      </c>
      <c r="H28" s="292">
        <v>0</v>
      </c>
      <c r="I28" s="291">
        <v>1003</v>
      </c>
      <c r="J28" s="292">
        <v>1003</v>
      </c>
      <c r="K28" s="291">
        <v>0</v>
      </c>
      <c r="L28" s="292">
        <v>2439</v>
      </c>
      <c r="M28" s="292">
        <v>2439</v>
      </c>
      <c r="N28" s="291">
        <v>1309</v>
      </c>
      <c r="O28" s="292">
        <v>112180</v>
      </c>
      <c r="P28" s="291">
        <v>113489</v>
      </c>
      <c r="Q28" s="292">
        <v>0</v>
      </c>
      <c r="R28" s="291">
        <v>7</v>
      </c>
      <c r="S28" s="292">
        <v>7</v>
      </c>
      <c r="T28" s="291">
        <v>1309</v>
      </c>
      <c r="U28" s="292">
        <v>112187</v>
      </c>
      <c r="V28" s="291">
        <v>113496</v>
      </c>
      <c r="W28" s="292">
        <v>0</v>
      </c>
      <c r="X28" s="292">
        <v>0</v>
      </c>
      <c r="Y28" s="291">
        <v>0</v>
      </c>
      <c r="Z28" s="292">
        <v>0</v>
      </c>
      <c r="AA28" s="291">
        <v>0</v>
      </c>
      <c r="AB28" s="292">
        <v>0</v>
      </c>
      <c r="AC28" s="291">
        <v>0</v>
      </c>
      <c r="AD28" s="292">
        <v>0</v>
      </c>
      <c r="AE28" s="291">
        <v>0</v>
      </c>
      <c r="AF28" s="292">
        <v>0</v>
      </c>
      <c r="AG28" s="291">
        <v>0</v>
      </c>
      <c r="AH28" s="292">
        <v>0</v>
      </c>
      <c r="AI28" s="291">
        <v>49</v>
      </c>
      <c r="AJ28" s="292">
        <v>48852</v>
      </c>
      <c r="AK28" s="291">
        <v>48901</v>
      </c>
      <c r="AL28" s="292">
        <v>0</v>
      </c>
      <c r="AM28" s="291">
        <v>0</v>
      </c>
      <c r="AN28" s="292">
        <v>0</v>
      </c>
      <c r="AO28" s="291">
        <v>49</v>
      </c>
      <c r="AP28" s="292">
        <v>48852</v>
      </c>
      <c r="AQ28" s="291">
        <v>48901</v>
      </c>
      <c r="AR28" s="292">
        <v>49</v>
      </c>
      <c r="AS28" s="291">
        <v>48852</v>
      </c>
      <c r="AT28" s="290">
        <v>48901</v>
      </c>
    </row>
    <row r="29" spans="1:49" ht="15" customHeight="1">
      <c r="A29" s="289" t="s">
        <v>15</v>
      </c>
      <c r="B29" s="292">
        <v>7442</v>
      </c>
      <c r="C29" s="291">
        <v>27846</v>
      </c>
      <c r="D29" s="292">
        <v>35288</v>
      </c>
      <c r="E29" s="291">
        <v>7640</v>
      </c>
      <c r="F29" s="292">
        <v>184478</v>
      </c>
      <c r="G29" s="291">
        <v>192118</v>
      </c>
      <c r="H29" s="292">
        <v>215140</v>
      </c>
      <c r="I29" s="291">
        <v>84978</v>
      </c>
      <c r="J29" s="292">
        <v>300118</v>
      </c>
      <c r="K29" s="291">
        <v>58</v>
      </c>
      <c r="L29" s="292">
        <v>23395</v>
      </c>
      <c r="M29" s="292">
        <v>23453</v>
      </c>
      <c r="N29" s="291">
        <v>230280</v>
      </c>
      <c r="O29" s="292">
        <v>320697</v>
      </c>
      <c r="P29" s="291">
        <v>550977</v>
      </c>
      <c r="Q29" s="292">
        <v>4400</v>
      </c>
      <c r="R29" s="291">
        <v>0</v>
      </c>
      <c r="S29" s="292">
        <v>4400</v>
      </c>
      <c r="T29" s="291">
        <v>234680</v>
      </c>
      <c r="U29" s="292">
        <v>320697</v>
      </c>
      <c r="V29" s="291">
        <v>555377</v>
      </c>
      <c r="W29" s="292">
        <v>332</v>
      </c>
      <c r="X29" s="292">
        <v>37685</v>
      </c>
      <c r="Y29" s="291">
        <v>38017</v>
      </c>
      <c r="Z29" s="292">
        <v>0</v>
      </c>
      <c r="AA29" s="291">
        <v>0</v>
      </c>
      <c r="AB29" s="292">
        <v>0</v>
      </c>
      <c r="AC29" s="291">
        <v>299585</v>
      </c>
      <c r="AD29" s="292">
        <v>215414</v>
      </c>
      <c r="AE29" s="291">
        <v>514999</v>
      </c>
      <c r="AF29" s="292">
        <v>299917</v>
      </c>
      <c r="AG29" s="291">
        <v>253099</v>
      </c>
      <c r="AH29" s="292">
        <v>553016</v>
      </c>
      <c r="AI29" s="291">
        <v>126705</v>
      </c>
      <c r="AJ29" s="292">
        <v>64304</v>
      </c>
      <c r="AK29" s="291">
        <v>191009</v>
      </c>
      <c r="AL29" s="292">
        <v>0</v>
      </c>
      <c r="AM29" s="291">
        <v>0</v>
      </c>
      <c r="AN29" s="292">
        <v>0</v>
      </c>
      <c r="AO29" s="291">
        <v>126705</v>
      </c>
      <c r="AP29" s="292">
        <v>64304</v>
      </c>
      <c r="AQ29" s="291">
        <v>191009</v>
      </c>
      <c r="AR29" s="292">
        <v>426622</v>
      </c>
      <c r="AS29" s="291">
        <v>317403</v>
      </c>
      <c r="AT29" s="290">
        <v>744025</v>
      </c>
    </row>
    <row r="30" spans="1:49" ht="15" customHeight="1">
      <c r="A30" s="289" t="s">
        <v>16</v>
      </c>
      <c r="B30" s="292">
        <v>587</v>
      </c>
      <c r="C30" s="291">
        <v>5821</v>
      </c>
      <c r="D30" s="292">
        <v>6408</v>
      </c>
      <c r="E30" s="291">
        <v>1897</v>
      </c>
      <c r="F30" s="292">
        <v>20023</v>
      </c>
      <c r="G30" s="291">
        <v>21919</v>
      </c>
      <c r="H30" s="292">
        <v>0</v>
      </c>
      <c r="I30" s="291">
        <v>1</v>
      </c>
      <c r="J30" s="292">
        <v>1</v>
      </c>
      <c r="K30" s="291">
        <v>0</v>
      </c>
      <c r="L30" s="292">
        <v>1527</v>
      </c>
      <c r="M30" s="292">
        <v>1527</v>
      </c>
      <c r="N30" s="291">
        <v>2484</v>
      </c>
      <c r="O30" s="292">
        <v>27371</v>
      </c>
      <c r="P30" s="291">
        <v>29855</v>
      </c>
      <c r="Q30" s="292">
        <v>34</v>
      </c>
      <c r="R30" s="291">
        <v>156</v>
      </c>
      <c r="S30" s="292">
        <v>190</v>
      </c>
      <c r="T30" s="291">
        <v>2518</v>
      </c>
      <c r="U30" s="292">
        <v>27527</v>
      </c>
      <c r="V30" s="291">
        <v>30045</v>
      </c>
      <c r="W30" s="292">
        <v>0</v>
      </c>
      <c r="X30" s="292">
        <v>0</v>
      </c>
      <c r="Y30" s="291">
        <v>0</v>
      </c>
      <c r="Z30" s="292">
        <v>650334</v>
      </c>
      <c r="AA30" s="291">
        <v>0</v>
      </c>
      <c r="AB30" s="292">
        <v>650334</v>
      </c>
      <c r="AC30" s="291">
        <v>0</v>
      </c>
      <c r="AD30" s="292">
        <v>0</v>
      </c>
      <c r="AE30" s="291">
        <v>0</v>
      </c>
      <c r="AF30" s="292">
        <v>650334</v>
      </c>
      <c r="AG30" s="291">
        <v>0</v>
      </c>
      <c r="AH30" s="292">
        <v>650334</v>
      </c>
      <c r="AI30" s="291">
        <v>10083</v>
      </c>
      <c r="AJ30" s="292">
        <v>145427</v>
      </c>
      <c r="AK30" s="291">
        <v>155510</v>
      </c>
      <c r="AL30" s="292">
        <v>0</v>
      </c>
      <c r="AM30" s="291">
        <v>0</v>
      </c>
      <c r="AN30" s="292">
        <v>0</v>
      </c>
      <c r="AO30" s="291">
        <v>10083</v>
      </c>
      <c r="AP30" s="292">
        <v>145427</v>
      </c>
      <c r="AQ30" s="291">
        <v>155510</v>
      </c>
      <c r="AR30" s="292">
        <v>660416</v>
      </c>
      <c r="AS30" s="291">
        <v>145427</v>
      </c>
      <c r="AT30" s="290">
        <v>805843</v>
      </c>
    </row>
    <row r="31" spans="1:49" ht="15" customHeight="1">
      <c r="A31" s="289" t="s">
        <v>17</v>
      </c>
      <c r="B31" s="292">
        <v>10616</v>
      </c>
      <c r="C31" s="291">
        <v>169943</v>
      </c>
      <c r="D31" s="292">
        <v>180559</v>
      </c>
      <c r="E31" s="291">
        <v>2198</v>
      </c>
      <c r="F31" s="292">
        <v>61248</v>
      </c>
      <c r="G31" s="291">
        <v>63446</v>
      </c>
      <c r="H31" s="292">
        <v>672056</v>
      </c>
      <c r="I31" s="291">
        <v>127644</v>
      </c>
      <c r="J31" s="292">
        <v>799699</v>
      </c>
      <c r="K31" s="291">
        <v>343998</v>
      </c>
      <c r="L31" s="292">
        <v>82831</v>
      </c>
      <c r="M31" s="292">
        <v>426829</v>
      </c>
      <c r="N31" s="291">
        <v>1028868</v>
      </c>
      <c r="O31" s="292">
        <v>441666</v>
      </c>
      <c r="P31" s="291">
        <v>1470534</v>
      </c>
      <c r="Q31" s="292">
        <v>7851</v>
      </c>
      <c r="R31" s="291">
        <v>-28</v>
      </c>
      <c r="S31" s="292">
        <v>7823</v>
      </c>
      <c r="T31" s="291">
        <v>1036719</v>
      </c>
      <c r="U31" s="292">
        <v>441638</v>
      </c>
      <c r="V31" s="291">
        <v>1478357</v>
      </c>
      <c r="W31" s="292">
        <v>139</v>
      </c>
      <c r="X31" s="292">
        <v>33732</v>
      </c>
      <c r="Y31" s="291">
        <v>33871</v>
      </c>
      <c r="Z31" s="292">
        <v>0</v>
      </c>
      <c r="AA31" s="291">
        <v>1</v>
      </c>
      <c r="AB31" s="292">
        <v>1</v>
      </c>
      <c r="AC31" s="291">
        <v>65268</v>
      </c>
      <c r="AD31" s="292">
        <v>1774673</v>
      </c>
      <c r="AE31" s="291">
        <v>1839941</v>
      </c>
      <c r="AF31" s="292">
        <v>65407</v>
      </c>
      <c r="AG31" s="291">
        <v>1808406</v>
      </c>
      <c r="AH31" s="292">
        <v>1873813</v>
      </c>
      <c r="AI31" s="291">
        <v>0</v>
      </c>
      <c r="AJ31" s="292">
        <v>1043</v>
      </c>
      <c r="AK31" s="291">
        <v>1043</v>
      </c>
      <c r="AL31" s="292">
        <v>7</v>
      </c>
      <c r="AM31" s="291">
        <v>889</v>
      </c>
      <c r="AN31" s="292">
        <v>896</v>
      </c>
      <c r="AO31" s="291">
        <v>7</v>
      </c>
      <c r="AP31" s="292">
        <v>1932</v>
      </c>
      <c r="AQ31" s="291">
        <v>1939</v>
      </c>
      <c r="AR31" s="292">
        <v>65413</v>
      </c>
      <c r="AS31" s="291">
        <v>1810338</v>
      </c>
      <c r="AT31" s="290">
        <v>1875751</v>
      </c>
    </row>
    <row r="32" spans="1:49" ht="15" customHeight="1">
      <c r="A32" s="289" t="s">
        <v>18</v>
      </c>
      <c r="B32" s="292">
        <v>3624</v>
      </c>
      <c r="C32" s="291">
        <v>451034</v>
      </c>
      <c r="D32" s="292">
        <v>454659</v>
      </c>
      <c r="E32" s="291">
        <v>31399</v>
      </c>
      <c r="F32" s="292">
        <v>2180132</v>
      </c>
      <c r="G32" s="291">
        <v>2211532</v>
      </c>
      <c r="H32" s="292">
        <v>115</v>
      </c>
      <c r="I32" s="291">
        <v>29</v>
      </c>
      <c r="J32" s="292">
        <v>144</v>
      </c>
      <c r="K32" s="291">
        <v>0</v>
      </c>
      <c r="L32" s="292">
        <v>16599</v>
      </c>
      <c r="M32" s="292">
        <v>16599</v>
      </c>
      <c r="N32" s="291">
        <v>35138</v>
      </c>
      <c r="O32" s="292">
        <v>2647795</v>
      </c>
      <c r="P32" s="291">
        <v>2682933</v>
      </c>
      <c r="Q32" s="292">
        <v>0</v>
      </c>
      <c r="R32" s="291">
        <v>0</v>
      </c>
      <c r="S32" s="292">
        <v>0</v>
      </c>
      <c r="T32" s="291">
        <v>35138</v>
      </c>
      <c r="U32" s="292">
        <v>2647795</v>
      </c>
      <c r="V32" s="291">
        <v>2682933</v>
      </c>
      <c r="W32" s="292">
        <v>0</v>
      </c>
      <c r="X32" s="292">
        <v>0</v>
      </c>
      <c r="Y32" s="291">
        <v>0</v>
      </c>
      <c r="Z32" s="292">
        <v>0</v>
      </c>
      <c r="AA32" s="291">
        <v>0</v>
      </c>
      <c r="AB32" s="292">
        <v>0</v>
      </c>
      <c r="AC32" s="291">
        <v>0</v>
      </c>
      <c r="AD32" s="292">
        <v>0</v>
      </c>
      <c r="AE32" s="291">
        <v>0</v>
      </c>
      <c r="AF32" s="292">
        <v>0</v>
      </c>
      <c r="AG32" s="291">
        <v>0</v>
      </c>
      <c r="AH32" s="292">
        <v>0</v>
      </c>
      <c r="AI32" s="291">
        <v>0</v>
      </c>
      <c r="AJ32" s="292">
        <v>151194</v>
      </c>
      <c r="AK32" s="291">
        <v>151194</v>
      </c>
      <c r="AL32" s="292">
        <v>0</v>
      </c>
      <c r="AM32" s="291">
        <v>0</v>
      </c>
      <c r="AN32" s="292">
        <v>0</v>
      </c>
      <c r="AO32" s="291">
        <v>0</v>
      </c>
      <c r="AP32" s="292">
        <v>151194</v>
      </c>
      <c r="AQ32" s="291">
        <v>151194</v>
      </c>
      <c r="AR32" s="292">
        <v>0</v>
      </c>
      <c r="AS32" s="291">
        <v>151194</v>
      </c>
      <c r="AT32" s="290">
        <v>151194</v>
      </c>
    </row>
    <row r="33" spans="1:49" ht="15" customHeight="1">
      <c r="A33" s="289" t="s">
        <v>19</v>
      </c>
      <c r="B33" s="292">
        <v>3153</v>
      </c>
      <c r="C33" s="291">
        <v>345858</v>
      </c>
      <c r="D33" s="292">
        <v>349011</v>
      </c>
      <c r="E33" s="291">
        <v>10026</v>
      </c>
      <c r="F33" s="292">
        <v>1175341</v>
      </c>
      <c r="G33" s="291">
        <v>1185367</v>
      </c>
      <c r="H33" s="292">
        <v>10</v>
      </c>
      <c r="I33" s="291">
        <v>17747</v>
      </c>
      <c r="J33" s="292">
        <v>17757</v>
      </c>
      <c r="K33" s="291">
        <v>0</v>
      </c>
      <c r="L33" s="292">
        <v>72058</v>
      </c>
      <c r="M33" s="292">
        <v>72058</v>
      </c>
      <c r="N33" s="291">
        <v>13189</v>
      </c>
      <c r="O33" s="292">
        <v>1611004</v>
      </c>
      <c r="P33" s="291">
        <v>1624193</v>
      </c>
      <c r="Q33" s="292">
        <v>2195</v>
      </c>
      <c r="R33" s="291">
        <v>11</v>
      </c>
      <c r="S33" s="292">
        <v>2206</v>
      </c>
      <c r="T33" s="291">
        <v>15384</v>
      </c>
      <c r="U33" s="292">
        <v>1611015</v>
      </c>
      <c r="V33" s="291">
        <v>1626398</v>
      </c>
      <c r="W33" s="292">
        <v>0</v>
      </c>
      <c r="X33" s="292">
        <v>0</v>
      </c>
      <c r="Y33" s="291">
        <v>0</v>
      </c>
      <c r="Z33" s="292">
        <v>514945</v>
      </c>
      <c r="AA33" s="291">
        <v>3659</v>
      </c>
      <c r="AB33" s="292">
        <v>518603</v>
      </c>
      <c r="AC33" s="291">
        <v>0</v>
      </c>
      <c r="AD33" s="292">
        <v>0</v>
      </c>
      <c r="AE33" s="291">
        <v>0</v>
      </c>
      <c r="AF33" s="292">
        <v>514945</v>
      </c>
      <c r="AG33" s="291">
        <v>3659</v>
      </c>
      <c r="AH33" s="292">
        <v>518603</v>
      </c>
      <c r="AI33" s="291">
        <v>1533</v>
      </c>
      <c r="AJ33" s="292">
        <v>89938</v>
      </c>
      <c r="AK33" s="291">
        <v>91470</v>
      </c>
      <c r="AL33" s="292">
        <v>0</v>
      </c>
      <c r="AM33" s="291">
        <v>0</v>
      </c>
      <c r="AN33" s="292">
        <v>0</v>
      </c>
      <c r="AO33" s="291">
        <v>1533</v>
      </c>
      <c r="AP33" s="292">
        <v>89938</v>
      </c>
      <c r="AQ33" s="291">
        <v>91470</v>
      </c>
      <c r="AR33" s="292">
        <v>516477</v>
      </c>
      <c r="AS33" s="291">
        <v>93596</v>
      </c>
      <c r="AT33" s="290">
        <v>610074</v>
      </c>
    </row>
    <row r="34" spans="1:49" ht="15" customHeight="1">
      <c r="A34" s="289" t="s">
        <v>20</v>
      </c>
      <c r="B34" s="292">
        <v>0</v>
      </c>
      <c r="C34" s="291">
        <v>0</v>
      </c>
      <c r="D34" s="292">
        <v>0</v>
      </c>
      <c r="E34" s="291">
        <v>0</v>
      </c>
      <c r="F34" s="292">
        <v>0</v>
      </c>
      <c r="G34" s="291">
        <v>0</v>
      </c>
      <c r="H34" s="292">
        <v>13618</v>
      </c>
      <c r="I34" s="291">
        <v>816889</v>
      </c>
      <c r="J34" s="292">
        <v>830507</v>
      </c>
      <c r="K34" s="291">
        <v>0</v>
      </c>
      <c r="L34" s="292">
        <v>0</v>
      </c>
      <c r="M34" s="292">
        <v>0</v>
      </c>
      <c r="N34" s="291">
        <v>13618</v>
      </c>
      <c r="O34" s="292">
        <v>816889</v>
      </c>
      <c r="P34" s="291">
        <v>830507</v>
      </c>
      <c r="Q34" s="292">
        <v>0</v>
      </c>
      <c r="R34" s="291">
        <v>0</v>
      </c>
      <c r="S34" s="292">
        <v>0</v>
      </c>
      <c r="T34" s="291">
        <v>13618</v>
      </c>
      <c r="U34" s="292">
        <v>816889</v>
      </c>
      <c r="V34" s="291">
        <v>830507</v>
      </c>
      <c r="W34" s="292">
        <v>1606</v>
      </c>
      <c r="X34" s="292">
        <v>155439</v>
      </c>
      <c r="Y34" s="291">
        <v>157045</v>
      </c>
      <c r="Z34" s="292">
        <v>0</v>
      </c>
      <c r="AA34" s="291">
        <v>0</v>
      </c>
      <c r="AB34" s="292">
        <v>0</v>
      </c>
      <c r="AC34" s="291">
        <v>51037</v>
      </c>
      <c r="AD34" s="292">
        <v>599143</v>
      </c>
      <c r="AE34" s="291">
        <v>650180</v>
      </c>
      <c r="AF34" s="292">
        <v>52643</v>
      </c>
      <c r="AG34" s="291">
        <v>754581</v>
      </c>
      <c r="AH34" s="292">
        <v>807225</v>
      </c>
      <c r="AI34" s="291">
        <v>1318</v>
      </c>
      <c r="AJ34" s="292">
        <v>7628</v>
      </c>
      <c r="AK34" s="291">
        <v>8946</v>
      </c>
      <c r="AL34" s="292">
        <v>176</v>
      </c>
      <c r="AM34" s="291">
        <v>1323</v>
      </c>
      <c r="AN34" s="292">
        <v>1499</v>
      </c>
      <c r="AO34" s="291">
        <v>1493</v>
      </c>
      <c r="AP34" s="292">
        <v>8952</v>
      </c>
      <c r="AQ34" s="291">
        <v>10445</v>
      </c>
      <c r="AR34" s="292">
        <v>54137</v>
      </c>
      <c r="AS34" s="291">
        <v>763533</v>
      </c>
      <c r="AT34" s="290">
        <v>817670</v>
      </c>
    </row>
    <row r="35" spans="1:49" ht="15" customHeight="1">
      <c r="A35" s="289" t="s">
        <v>21</v>
      </c>
      <c r="B35" s="292">
        <v>31287</v>
      </c>
      <c r="C35" s="291">
        <v>1516991</v>
      </c>
      <c r="D35" s="292">
        <v>1548278</v>
      </c>
      <c r="E35" s="291">
        <v>128597</v>
      </c>
      <c r="F35" s="292">
        <v>644812</v>
      </c>
      <c r="G35" s="291">
        <v>773409</v>
      </c>
      <c r="H35" s="292">
        <v>659922</v>
      </c>
      <c r="I35" s="291">
        <v>728761</v>
      </c>
      <c r="J35" s="292">
        <v>1388683</v>
      </c>
      <c r="K35" s="291">
        <v>28894</v>
      </c>
      <c r="L35" s="292">
        <v>422704</v>
      </c>
      <c r="M35" s="292">
        <v>451598</v>
      </c>
      <c r="N35" s="291">
        <v>848700</v>
      </c>
      <c r="O35" s="292">
        <v>3313268</v>
      </c>
      <c r="P35" s="291">
        <v>4161968</v>
      </c>
      <c r="Q35" s="292">
        <v>0</v>
      </c>
      <c r="R35" s="291">
        <v>0</v>
      </c>
      <c r="S35" s="292">
        <v>0</v>
      </c>
      <c r="T35" s="291">
        <v>848700</v>
      </c>
      <c r="U35" s="292">
        <v>3313268</v>
      </c>
      <c r="V35" s="291">
        <v>4161968</v>
      </c>
      <c r="W35" s="292">
        <v>2270</v>
      </c>
      <c r="X35" s="292">
        <v>477776</v>
      </c>
      <c r="Y35" s="291">
        <v>480046</v>
      </c>
      <c r="Z35" s="292">
        <v>0</v>
      </c>
      <c r="AA35" s="291">
        <v>0</v>
      </c>
      <c r="AB35" s="292">
        <v>0</v>
      </c>
      <c r="AC35" s="291">
        <v>0</v>
      </c>
      <c r="AD35" s="292">
        <v>0</v>
      </c>
      <c r="AE35" s="291">
        <v>0</v>
      </c>
      <c r="AF35" s="292">
        <v>2270</v>
      </c>
      <c r="AG35" s="291">
        <v>477776</v>
      </c>
      <c r="AH35" s="292">
        <v>480046</v>
      </c>
      <c r="AI35" s="291">
        <v>0</v>
      </c>
      <c r="AJ35" s="292">
        <v>0</v>
      </c>
      <c r="AK35" s="291">
        <v>0</v>
      </c>
      <c r="AL35" s="292">
        <v>0</v>
      </c>
      <c r="AM35" s="291">
        <v>0</v>
      </c>
      <c r="AN35" s="292">
        <v>0</v>
      </c>
      <c r="AO35" s="291">
        <v>0</v>
      </c>
      <c r="AP35" s="292">
        <v>0</v>
      </c>
      <c r="AQ35" s="291">
        <v>0</v>
      </c>
      <c r="AR35" s="292">
        <v>2270</v>
      </c>
      <c r="AS35" s="291">
        <v>477776</v>
      </c>
      <c r="AT35" s="290">
        <v>480046</v>
      </c>
    </row>
    <row r="36" spans="1:49" ht="15" customHeight="1">
      <c r="A36" s="289" t="s">
        <v>22</v>
      </c>
      <c r="B36" s="292">
        <v>237</v>
      </c>
      <c r="C36" s="291">
        <v>9816</v>
      </c>
      <c r="D36" s="292">
        <v>10052</v>
      </c>
      <c r="E36" s="291">
        <v>368</v>
      </c>
      <c r="F36" s="292">
        <v>12391</v>
      </c>
      <c r="G36" s="291">
        <v>12759</v>
      </c>
      <c r="H36" s="292">
        <v>25</v>
      </c>
      <c r="I36" s="291">
        <v>11257</v>
      </c>
      <c r="J36" s="292">
        <v>11282</v>
      </c>
      <c r="K36" s="291">
        <v>107528</v>
      </c>
      <c r="L36" s="292">
        <v>27105</v>
      </c>
      <c r="M36" s="292">
        <v>134632</v>
      </c>
      <c r="N36" s="291">
        <v>108157</v>
      </c>
      <c r="O36" s="292">
        <v>60569</v>
      </c>
      <c r="P36" s="291">
        <v>168726</v>
      </c>
      <c r="Q36" s="292">
        <v>8</v>
      </c>
      <c r="R36" s="291">
        <v>7</v>
      </c>
      <c r="S36" s="292">
        <v>15</v>
      </c>
      <c r="T36" s="291">
        <v>108165</v>
      </c>
      <c r="U36" s="292">
        <v>60576</v>
      </c>
      <c r="V36" s="291">
        <v>168741</v>
      </c>
      <c r="W36" s="292">
        <v>145</v>
      </c>
      <c r="X36" s="292">
        <v>33137</v>
      </c>
      <c r="Y36" s="291">
        <v>33282</v>
      </c>
      <c r="Z36" s="292">
        <v>0</v>
      </c>
      <c r="AA36" s="291">
        <v>0</v>
      </c>
      <c r="AB36" s="292">
        <v>0</v>
      </c>
      <c r="AC36" s="291">
        <v>0</v>
      </c>
      <c r="AD36" s="292">
        <v>0</v>
      </c>
      <c r="AE36" s="291">
        <v>0</v>
      </c>
      <c r="AF36" s="292">
        <v>145</v>
      </c>
      <c r="AG36" s="291">
        <v>33137</v>
      </c>
      <c r="AH36" s="292">
        <v>33282</v>
      </c>
      <c r="AI36" s="291">
        <v>0</v>
      </c>
      <c r="AJ36" s="292">
        <v>0</v>
      </c>
      <c r="AK36" s="291">
        <v>0</v>
      </c>
      <c r="AL36" s="292">
        <v>0</v>
      </c>
      <c r="AM36" s="291">
        <v>0</v>
      </c>
      <c r="AN36" s="292">
        <v>0</v>
      </c>
      <c r="AO36" s="291">
        <v>0</v>
      </c>
      <c r="AP36" s="292">
        <v>0</v>
      </c>
      <c r="AQ36" s="291">
        <v>0</v>
      </c>
      <c r="AR36" s="292">
        <v>145</v>
      </c>
      <c r="AS36" s="291">
        <v>33137</v>
      </c>
      <c r="AT36" s="290">
        <v>33282</v>
      </c>
    </row>
    <row r="37" spans="1:49" ht="15" customHeight="1">
      <c r="A37" s="289"/>
      <c r="B37" s="292" t="s">
        <v>2</v>
      </c>
      <c r="C37" s="291" t="s">
        <v>2</v>
      </c>
      <c r="D37" s="292" t="s">
        <v>2</v>
      </c>
      <c r="E37" s="291" t="s">
        <v>2</v>
      </c>
      <c r="F37" s="292" t="s">
        <v>2</v>
      </c>
      <c r="G37" s="291" t="s">
        <v>2</v>
      </c>
      <c r="H37" s="292" t="s">
        <v>2</v>
      </c>
      <c r="I37" s="291" t="s">
        <v>2</v>
      </c>
      <c r="J37" s="292" t="s">
        <v>2</v>
      </c>
      <c r="K37" s="291" t="s">
        <v>2</v>
      </c>
      <c r="L37" s="292" t="s">
        <v>2</v>
      </c>
      <c r="M37" s="292" t="s">
        <v>2</v>
      </c>
      <c r="N37" s="291" t="s">
        <v>2</v>
      </c>
      <c r="O37" s="292" t="s">
        <v>2</v>
      </c>
      <c r="P37" s="291" t="s">
        <v>2</v>
      </c>
      <c r="Q37" s="292" t="s">
        <v>2</v>
      </c>
      <c r="R37" s="291" t="s">
        <v>2</v>
      </c>
      <c r="S37" s="292" t="s">
        <v>2</v>
      </c>
      <c r="T37" s="291" t="s">
        <v>2</v>
      </c>
      <c r="U37" s="292" t="s">
        <v>2</v>
      </c>
      <c r="V37" s="291" t="s">
        <v>2</v>
      </c>
      <c r="W37" s="292" t="s">
        <v>2</v>
      </c>
      <c r="X37" s="292" t="s">
        <v>2</v>
      </c>
      <c r="Y37" s="291" t="s">
        <v>2</v>
      </c>
      <c r="Z37" s="292" t="s">
        <v>2</v>
      </c>
      <c r="AA37" s="291" t="s">
        <v>2</v>
      </c>
      <c r="AB37" s="292" t="s">
        <v>2</v>
      </c>
      <c r="AC37" s="291" t="s">
        <v>2</v>
      </c>
      <c r="AD37" s="292" t="s">
        <v>2</v>
      </c>
      <c r="AE37" s="291" t="s">
        <v>2</v>
      </c>
      <c r="AF37" s="292" t="s">
        <v>2</v>
      </c>
      <c r="AG37" s="291" t="s">
        <v>2</v>
      </c>
      <c r="AH37" s="292" t="s">
        <v>2</v>
      </c>
      <c r="AI37" s="291" t="s">
        <v>2</v>
      </c>
      <c r="AJ37" s="292" t="s">
        <v>2</v>
      </c>
      <c r="AK37" s="291" t="s">
        <v>2</v>
      </c>
      <c r="AL37" s="292" t="s">
        <v>2</v>
      </c>
      <c r="AM37" s="291" t="s">
        <v>2</v>
      </c>
      <c r="AN37" s="292" t="s">
        <v>2</v>
      </c>
      <c r="AO37" s="291" t="s">
        <v>2</v>
      </c>
      <c r="AP37" s="292" t="s">
        <v>2</v>
      </c>
      <c r="AQ37" s="291" t="s">
        <v>2</v>
      </c>
      <c r="AR37" s="292" t="s">
        <v>2</v>
      </c>
      <c r="AS37" s="291" t="s">
        <v>2</v>
      </c>
      <c r="AT37" s="290" t="s">
        <v>2</v>
      </c>
    </row>
    <row r="38" spans="1:49" ht="15" customHeight="1">
      <c r="A38" s="297" t="s">
        <v>0</v>
      </c>
      <c r="B38" s="423">
        <v>671531</v>
      </c>
      <c r="C38" s="424">
        <v>29145189</v>
      </c>
      <c r="D38" s="423">
        <v>29816720</v>
      </c>
      <c r="E38" s="424">
        <v>327603</v>
      </c>
      <c r="F38" s="423">
        <v>13673472</v>
      </c>
      <c r="G38" s="424">
        <v>14001075</v>
      </c>
      <c r="H38" s="423">
        <v>9513073</v>
      </c>
      <c r="I38" s="424">
        <v>8287249</v>
      </c>
      <c r="J38" s="423">
        <v>17800322</v>
      </c>
      <c r="K38" s="424">
        <v>846020</v>
      </c>
      <c r="L38" s="423">
        <v>3375209</v>
      </c>
      <c r="M38" s="423">
        <v>4221229</v>
      </c>
      <c r="N38" s="424">
        <v>11358227</v>
      </c>
      <c r="O38" s="423">
        <v>54481119</v>
      </c>
      <c r="P38" s="424">
        <v>65839346</v>
      </c>
      <c r="Q38" s="423">
        <v>113141</v>
      </c>
      <c r="R38" s="424">
        <v>579696</v>
      </c>
      <c r="S38" s="423">
        <v>692837</v>
      </c>
      <c r="T38" s="424">
        <v>11471368</v>
      </c>
      <c r="U38" s="423">
        <v>55060815</v>
      </c>
      <c r="V38" s="424">
        <v>66532183</v>
      </c>
      <c r="W38" s="423">
        <v>17646</v>
      </c>
      <c r="X38" s="423">
        <v>2549976</v>
      </c>
      <c r="Y38" s="424">
        <v>2567622</v>
      </c>
      <c r="Z38" s="423">
        <v>1425997</v>
      </c>
      <c r="AA38" s="424">
        <v>50805</v>
      </c>
      <c r="AB38" s="423">
        <v>1476802</v>
      </c>
      <c r="AC38" s="424">
        <v>2261868</v>
      </c>
      <c r="AD38" s="423">
        <v>9378197</v>
      </c>
      <c r="AE38" s="424">
        <v>11640064</v>
      </c>
      <c r="AF38" s="423">
        <v>3707026</v>
      </c>
      <c r="AG38" s="424">
        <v>11982343</v>
      </c>
      <c r="AH38" s="423">
        <v>15689370</v>
      </c>
      <c r="AI38" s="424">
        <v>486651</v>
      </c>
      <c r="AJ38" s="423">
        <v>10760780</v>
      </c>
      <c r="AK38" s="424">
        <v>11247431</v>
      </c>
      <c r="AL38" s="423">
        <v>6905</v>
      </c>
      <c r="AM38" s="424">
        <v>71168</v>
      </c>
      <c r="AN38" s="423">
        <v>78073</v>
      </c>
      <c r="AO38" s="424">
        <v>493556</v>
      </c>
      <c r="AP38" s="423">
        <v>10831948</v>
      </c>
      <c r="AQ38" s="424">
        <v>11325504</v>
      </c>
      <c r="AR38" s="423">
        <v>4200582</v>
      </c>
      <c r="AS38" s="424">
        <v>22814291</v>
      </c>
      <c r="AT38" s="425">
        <v>27014873</v>
      </c>
    </row>
    <row r="39" spans="1:49" ht="15" customHeight="1">
      <c r="A39" s="297"/>
      <c r="B39" s="423" t="s">
        <v>2</v>
      </c>
      <c r="C39" s="424" t="s">
        <v>2</v>
      </c>
      <c r="D39" s="423" t="s">
        <v>2</v>
      </c>
      <c r="E39" s="424" t="s">
        <v>2</v>
      </c>
      <c r="F39" s="423" t="s">
        <v>2</v>
      </c>
      <c r="G39" s="424" t="s">
        <v>2</v>
      </c>
      <c r="H39" s="423" t="s">
        <v>2</v>
      </c>
      <c r="I39" s="424" t="s">
        <v>2</v>
      </c>
      <c r="J39" s="423" t="s">
        <v>2</v>
      </c>
      <c r="K39" s="424" t="s">
        <v>2</v>
      </c>
      <c r="L39" s="423" t="s">
        <v>2</v>
      </c>
      <c r="M39" s="423" t="s">
        <v>2</v>
      </c>
      <c r="N39" s="424" t="s">
        <v>2</v>
      </c>
      <c r="O39" s="423" t="s">
        <v>2</v>
      </c>
      <c r="P39" s="424" t="s">
        <v>2</v>
      </c>
      <c r="Q39" s="423" t="s">
        <v>2</v>
      </c>
      <c r="R39" s="424" t="s">
        <v>2</v>
      </c>
      <c r="S39" s="423" t="s">
        <v>2</v>
      </c>
      <c r="T39" s="424" t="s">
        <v>2</v>
      </c>
      <c r="U39" s="423" t="s">
        <v>2</v>
      </c>
      <c r="V39" s="424" t="s">
        <v>2</v>
      </c>
      <c r="W39" s="423" t="s">
        <v>2</v>
      </c>
      <c r="X39" s="423" t="s">
        <v>2</v>
      </c>
      <c r="Y39" s="424" t="s">
        <v>2</v>
      </c>
      <c r="Z39" s="423" t="s">
        <v>2</v>
      </c>
      <c r="AA39" s="424" t="s">
        <v>2</v>
      </c>
      <c r="AB39" s="423" t="s">
        <v>2</v>
      </c>
      <c r="AC39" s="424" t="s">
        <v>2</v>
      </c>
      <c r="AD39" s="423" t="s">
        <v>2</v>
      </c>
      <c r="AE39" s="424" t="s">
        <v>2</v>
      </c>
      <c r="AF39" s="423" t="s">
        <v>2</v>
      </c>
      <c r="AG39" s="424" t="s">
        <v>2</v>
      </c>
      <c r="AH39" s="423" t="s">
        <v>2</v>
      </c>
      <c r="AI39" s="424" t="s">
        <v>2</v>
      </c>
      <c r="AJ39" s="423" t="s">
        <v>2</v>
      </c>
      <c r="AK39" s="424" t="s">
        <v>2</v>
      </c>
      <c r="AL39" s="423" t="s">
        <v>2</v>
      </c>
      <c r="AM39" s="424" t="s">
        <v>2</v>
      </c>
      <c r="AN39" s="423" t="s">
        <v>2</v>
      </c>
      <c r="AO39" s="424" t="s">
        <v>2</v>
      </c>
      <c r="AP39" s="423" t="s">
        <v>2</v>
      </c>
      <c r="AQ39" s="424" t="s">
        <v>2</v>
      </c>
      <c r="AR39" s="423" t="s">
        <v>2</v>
      </c>
      <c r="AS39" s="424" t="s">
        <v>2</v>
      </c>
      <c r="AT39" s="425" t="s">
        <v>2</v>
      </c>
    </row>
    <row r="40" spans="1:49" ht="15" customHeight="1">
      <c r="A40" s="456" t="str">
        <f>'I-2'!A37</f>
        <v>2023.10</v>
      </c>
      <c r="B40" s="292">
        <v>621324</v>
      </c>
      <c r="C40" s="291">
        <v>26335155</v>
      </c>
      <c r="D40" s="292">
        <v>26956479</v>
      </c>
      <c r="E40" s="291">
        <v>304690</v>
      </c>
      <c r="F40" s="292">
        <v>12414497</v>
      </c>
      <c r="G40" s="291">
        <v>12719187</v>
      </c>
      <c r="H40" s="292">
        <v>8264717</v>
      </c>
      <c r="I40" s="291">
        <v>7622174</v>
      </c>
      <c r="J40" s="292">
        <v>15886892</v>
      </c>
      <c r="K40" s="291">
        <v>841526</v>
      </c>
      <c r="L40" s="292">
        <v>3136165</v>
      </c>
      <c r="M40" s="292">
        <v>3977691</v>
      </c>
      <c r="N40" s="291">
        <v>10032258</v>
      </c>
      <c r="O40" s="292">
        <v>49507991</v>
      </c>
      <c r="P40" s="291">
        <v>59540249</v>
      </c>
      <c r="Q40" s="292">
        <v>107555</v>
      </c>
      <c r="R40" s="291">
        <v>527225</v>
      </c>
      <c r="S40" s="292">
        <v>634780</v>
      </c>
      <c r="T40" s="291">
        <v>10139813</v>
      </c>
      <c r="U40" s="292">
        <v>50035215</v>
      </c>
      <c r="V40" s="291">
        <v>60175028</v>
      </c>
      <c r="W40" s="292">
        <v>16502</v>
      </c>
      <c r="X40" s="292">
        <v>2316975</v>
      </c>
      <c r="Y40" s="291">
        <v>2333477</v>
      </c>
      <c r="Z40" s="292">
        <v>1225838</v>
      </c>
      <c r="AA40" s="291">
        <v>46864</v>
      </c>
      <c r="AB40" s="292">
        <v>1272702</v>
      </c>
      <c r="AC40" s="291">
        <v>1959441</v>
      </c>
      <c r="AD40" s="292">
        <v>8263634</v>
      </c>
      <c r="AE40" s="291">
        <v>10223075</v>
      </c>
      <c r="AF40" s="292">
        <v>3203069</v>
      </c>
      <c r="AG40" s="291">
        <v>10629624</v>
      </c>
      <c r="AH40" s="292">
        <v>13832693</v>
      </c>
      <c r="AI40" s="291">
        <v>443784</v>
      </c>
      <c r="AJ40" s="292">
        <v>9839814</v>
      </c>
      <c r="AK40" s="291">
        <v>10283598</v>
      </c>
      <c r="AL40" s="292">
        <v>6455</v>
      </c>
      <c r="AM40" s="291">
        <v>66556</v>
      </c>
      <c r="AN40" s="292">
        <v>73011</v>
      </c>
      <c r="AO40" s="291">
        <v>450238</v>
      </c>
      <c r="AP40" s="292">
        <v>9906371</v>
      </c>
      <c r="AQ40" s="291">
        <v>10356609</v>
      </c>
      <c r="AR40" s="292">
        <v>3653307</v>
      </c>
      <c r="AS40" s="291">
        <v>20535995</v>
      </c>
      <c r="AT40" s="290">
        <v>24189302</v>
      </c>
    </row>
    <row r="41" spans="1:49" ht="15" customHeight="1">
      <c r="A41" s="456" t="str">
        <f>'I-2'!A38</f>
        <v>2023.9</v>
      </c>
      <c r="B41" s="292">
        <v>575749</v>
      </c>
      <c r="C41" s="291">
        <v>23532202</v>
      </c>
      <c r="D41" s="292">
        <v>24107950</v>
      </c>
      <c r="E41" s="291">
        <v>282691</v>
      </c>
      <c r="F41" s="292">
        <v>11153380</v>
      </c>
      <c r="G41" s="291">
        <v>11436071</v>
      </c>
      <c r="H41" s="292">
        <v>7454968</v>
      </c>
      <c r="I41" s="291">
        <v>6950727</v>
      </c>
      <c r="J41" s="292">
        <v>14405695</v>
      </c>
      <c r="K41" s="291">
        <v>846963</v>
      </c>
      <c r="L41" s="292">
        <v>2889189</v>
      </c>
      <c r="M41" s="292">
        <v>3736152</v>
      </c>
      <c r="N41" s="291">
        <v>9160371</v>
      </c>
      <c r="O41" s="292">
        <v>44525498</v>
      </c>
      <c r="P41" s="291">
        <v>53685868</v>
      </c>
      <c r="Q41" s="292">
        <v>99164</v>
      </c>
      <c r="R41" s="291">
        <v>474668</v>
      </c>
      <c r="S41" s="292">
        <v>573832</v>
      </c>
      <c r="T41" s="291">
        <v>9259535</v>
      </c>
      <c r="U41" s="292">
        <v>45000166</v>
      </c>
      <c r="V41" s="291">
        <v>54259701</v>
      </c>
      <c r="W41" s="292">
        <v>15561</v>
      </c>
      <c r="X41" s="292">
        <v>2087543</v>
      </c>
      <c r="Y41" s="291">
        <v>2103104</v>
      </c>
      <c r="Z41" s="292">
        <v>1166796</v>
      </c>
      <c r="AA41" s="291">
        <v>42749</v>
      </c>
      <c r="AB41" s="292">
        <v>1209545</v>
      </c>
      <c r="AC41" s="291">
        <v>1685012</v>
      </c>
      <c r="AD41" s="292">
        <v>7817779</v>
      </c>
      <c r="AE41" s="291">
        <v>9502791</v>
      </c>
      <c r="AF41" s="292">
        <v>2868386</v>
      </c>
      <c r="AG41" s="291">
        <v>9949203</v>
      </c>
      <c r="AH41" s="292">
        <v>12817588</v>
      </c>
      <c r="AI41" s="291">
        <v>410738</v>
      </c>
      <c r="AJ41" s="292">
        <v>8903005</v>
      </c>
      <c r="AK41" s="291">
        <v>9313742</v>
      </c>
      <c r="AL41" s="292">
        <v>6109</v>
      </c>
      <c r="AM41" s="291">
        <v>61800</v>
      </c>
      <c r="AN41" s="292">
        <v>67909</v>
      </c>
      <c r="AO41" s="291">
        <v>416847</v>
      </c>
      <c r="AP41" s="292">
        <v>8964804</v>
      </c>
      <c r="AQ41" s="291">
        <v>9381651</v>
      </c>
      <c r="AR41" s="292">
        <v>3285233</v>
      </c>
      <c r="AS41" s="291">
        <v>18914007</v>
      </c>
      <c r="AT41" s="290">
        <v>22199240</v>
      </c>
    </row>
    <row r="42" spans="1:49" ht="15" customHeight="1">
      <c r="A42" s="456" t="str">
        <f>'I-2'!A39</f>
        <v>2023.8</v>
      </c>
      <c r="B42" s="292">
        <v>532212</v>
      </c>
      <c r="C42" s="291">
        <v>20754402</v>
      </c>
      <c r="D42" s="292">
        <v>21286614</v>
      </c>
      <c r="E42" s="291">
        <v>259274</v>
      </c>
      <c r="F42" s="292">
        <v>9904131</v>
      </c>
      <c r="G42" s="291">
        <v>10163405</v>
      </c>
      <c r="H42" s="292">
        <v>6668570</v>
      </c>
      <c r="I42" s="291">
        <v>6267133</v>
      </c>
      <c r="J42" s="292">
        <v>12935703</v>
      </c>
      <c r="K42" s="291">
        <v>842151</v>
      </c>
      <c r="L42" s="292">
        <v>2618940</v>
      </c>
      <c r="M42" s="292">
        <v>3461091</v>
      </c>
      <c r="N42" s="291">
        <v>8302207</v>
      </c>
      <c r="O42" s="292">
        <v>39544606</v>
      </c>
      <c r="P42" s="291">
        <v>47846813</v>
      </c>
      <c r="Q42" s="292">
        <v>92953</v>
      </c>
      <c r="R42" s="291">
        <v>422566</v>
      </c>
      <c r="S42" s="292">
        <v>515519</v>
      </c>
      <c r="T42" s="291">
        <v>8395161</v>
      </c>
      <c r="U42" s="292">
        <v>39967172</v>
      </c>
      <c r="V42" s="291">
        <v>48362332</v>
      </c>
      <c r="W42" s="292">
        <v>14440</v>
      </c>
      <c r="X42" s="292">
        <v>1858210</v>
      </c>
      <c r="Y42" s="291">
        <v>1872649</v>
      </c>
      <c r="Z42" s="292">
        <v>989743</v>
      </c>
      <c r="AA42" s="291">
        <v>38634</v>
      </c>
      <c r="AB42" s="292">
        <v>1028378</v>
      </c>
      <c r="AC42" s="291">
        <v>1512013</v>
      </c>
      <c r="AD42" s="292">
        <v>7340020</v>
      </c>
      <c r="AE42" s="291">
        <v>8852033</v>
      </c>
      <c r="AF42" s="292">
        <v>2516987</v>
      </c>
      <c r="AG42" s="291">
        <v>9237255</v>
      </c>
      <c r="AH42" s="292">
        <v>11754242</v>
      </c>
      <c r="AI42" s="291">
        <v>339384</v>
      </c>
      <c r="AJ42" s="292">
        <v>7969028</v>
      </c>
      <c r="AK42" s="291">
        <v>8308411</v>
      </c>
      <c r="AL42" s="292">
        <v>5598</v>
      </c>
      <c r="AM42" s="291">
        <v>56333</v>
      </c>
      <c r="AN42" s="292">
        <v>61932</v>
      </c>
      <c r="AO42" s="291">
        <v>344982</v>
      </c>
      <c r="AP42" s="292">
        <v>8025361</v>
      </c>
      <c r="AQ42" s="291">
        <v>8370343</v>
      </c>
      <c r="AR42" s="292">
        <v>2861969</v>
      </c>
      <c r="AS42" s="291">
        <v>17262616</v>
      </c>
      <c r="AT42" s="290">
        <v>20124585</v>
      </c>
    </row>
    <row r="43" spans="1:49" ht="15" customHeight="1" thickBot="1">
      <c r="A43" s="304"/>
      <c r="B43" s="269"/>
      <c r="C43" s="268"/>
      <c r="D43" s="269"/>
      <c r="E43" s="268"/>
      <c r="F43" s="269"/>
      <c r="G43" s="268"/>
      <c r="H43" s="269"/>
      <c r="I43" s="268"/>
      <c r="J43" s="269"/>
      <c r="K43" s="268"/>
      <c r="L43" s="269"/>
      <c r="M43" s="269"/>
      <c r="N43" s="268"/>
      <c r="O43" s="269"/>
      <c r="P43" s="268"/>
      <c r="Q43" s="269"/>
      <c r="R43" s="268"/>
      <c r="S43" s="269"/>
      <c r="T43" s="268"/>
      <c r="U43" s="269"/>
      <c r="V43" s="268"/>
      <c r="W43" s="269"/>
      <c r="X43" s="269"/>
      <c r="Y43" s="268"/>
      <c r="Z43" s="269"/>
      <c r="AA43" s="268"/>
      <c r="AB43" s="269"/>
      <c r="AC43" s="268"/>
      <c r="AD43" s="269"/>
      <c r="AE43" s="268"/>
      <c r="AF43" s="269"/>
      <c r="AG43" s="268"/>
      <c r="AH43" s="269"/>
      <c r="AI43" s="268"/>
      <c r="AJ43" s="269"/>
      <c r="AK43" s="268"/>
      <c r="AL43" s="269"/>
      <c r="AM43" s="268"/>
      <c r="AN43" s="269"/>
      <c r="AO43" s="268"/>
      <c r="AP43" s="269"/>
      <c r="AQ43" s="268"/>
      <c r="AR43" s="269"/>
      <c r="AS43" s="268"/>
      <c r="AT43" s="305"/>
    </row>
    <row r="44" spans="1:49" ht="15" customHeight="1">
      <c r="A44" s="176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63"/>
      <c r="AG44" s="263"/>
      <c r="AH44" s="282"/>
      <c r="AI44" s="263"/>
      <c r="AJ44" s="263"/>
      <c r="AK44" s="263"/>
      <c r="AL44" s="263"/>
      <c r="AM44" s="263"/>
      <c r="AN44" s="282"/>
      <c r="AO44" s="263"/>
      <c r="AP44" s="263"/>
      <c r="AQ44" s="263"/>
      <c r="AR44" s="263"/>
      <c r="AS44" s="263"/>
      <c r="AT44" s="263"/>
      <c r="AU44" s="14"/>
      <c r="AV44" s="14"/>
      <c r="AW44" s="14"/>
    </row>
    <row r="45" spans="1:49" ht="15" customHeight="1">
      <c r="A45" s="298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14"/>
      <c r="AV45" s="14"/>
      <c r="AW45" s="14"/>
    </row>
    <row r="46" spans="1:49" ht="15" customHeight="1">
      <c r="A46" s="298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  <c r="AT46" s="263"/>
      <c r="AU46" s="14"/>
      <c r="AV46" s="14"/>
      <c r="AW46" s="14"/>
    </row>
    <row r="47" spans="1:49" ht="15" customHeight="1"/>
  </sheetData>
  <mergeCells count="67">
    <mergeCell ref="W7:AT7"/>
    <mergeCell ref="AF9:AH9"/>
    <mergeCell ref="W9:Y9"/>
    <mergeCell ref="AR9:AR13"/>
    <mergeCell ref="B7:V7"/>
    <mergeCell ref="B8:P8"/>
    <mergeCell ref="M11:M13"/>
    <mergeCell ref="F11:F13"/>
    <mergeCell ref="E10:G10"/>
    <mergeCell ref="H10:J10"/>
    <mergeCell ref="G11:G13"/>
    <mergeCell ref="I11:I13"/>
    <mergeCell ref="B11:B13"/>
    <mergeCell ref="C11:C13"/>
    <mergeCell ref="Z9:AB9"/>
    <mergeCell ref="W10:W13"/>
    <mergeCell ref="B10:D10"/>
    <mergeCell ref="AR8:AT8"/>
    <mergeCell ref="W8:AH8"/>
    <mergeCell ref="AI8:AQ8"/>
    <mergeCell ref="Y10:Y13"/>
    <mergeCell ref="AN10:AN13"/>
    <mergeCell ref="AO10:AO13"/>
    <mergeCell ref="AP10:AP13"/>
    <mergeCell ref="AQ10:AQ13"/>
    <mergeCell ref="AH10:AH13"/>
    <mergeCell ref="AI10:AI13"/>
    <mergeCell ref="AL10:AL13"/>
    <mergeCell ref="Z10:Z13"/>
    <mergeCell ref="AT9:AT13"/>
    <mergeCell ref="AM10:AM13"/>
    <mergeCell ref="AI9:AK9"/>
    <mergeCell ref="AL9:AN9"/>
    <mergeCell ref="AO9:AQ9"/>
    <mergeCell ref="AK10:AK13"/>
    <mergeCell ref="AF10:AF13"/>
    <mergeCell ref="AG10:AG13"/>
    <mergeCell ref="AJ10:AJ13"/>
    <mergeCell ref="AS9:AS13"/>
    <mergeCell ref="B9:G9"/>
    <mergeCell ref="K10:M10"/>
    <mergeCell ref="H9:M9"/>
    <mergeCell ref="Q9:Q13"/>
    <mergeCell ref="O10:O13"/>
    <mergeCell ref="P10:P13"/>
    <mergeCell ref="K11:K13"/>
    <mergeCell ref="L11:L13"/>
    <mergeCell ref="D11:D13"/>
    <mergeCell ref="N10:N13"/>
    <mergeCell ref="N9:P9"/>
    <mergeCell ref="J11:J13"/>
    <mergeCell ref="H11:H13"/>
    <mergeCell ref="E11:E13"/>
    <mergeCell ref="AC9:AE9"/>
    <mergeCell ref="AB10:AB13"/>
    <mergeCell ref="AC10:AC13"/>
    <mergeCell ref="AD10:AD13"/>
    <mergeCell ref="AE10:AE13"/>
    <mergeCell ref="X10:X13"/>
    <mergeCell ref="AA10:AA13"/>
    <mergeCell ref="R9:R13"/>
    <mergeCell ref="Q8:S8"/>
    <mergeCell ref="T9:T13"/>
    <mergeCell ref="U9:U13"/>
    <mergeCell ref="V9:V13"/>
    <mergeCell ref="S9:S13"/>
    <mergeCell ref="T8:V8"/>
  </mergeCells>
  <phoneticPr fontId="2" type="noConversion"/>
  <pageMargins left="0.68" right="0.43" top="0.87" bottom="0.57999999999999996" header="0.26" footer="0.37"/>
  <pageSetup paperSize="9" scale="90" orientation="landscape" r:id="rId1"/>
  <headerFooter alignWithMargins="0"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5"/>
  <sheetViews>
    <sheetView zoomScaleNormal="100" zoomScaleSheetLayoutView="90" workbookViewId="0">
      <pane xSplit="1" ySplit="12" topLeftCell="B28" activePane="bottomRight" state="frozen"/>
      <selection activeCell="P22" sqref="P22"/>
      <selection pane="topRight" activeCell="P22" sqref="P22"/>
      <selection pane="bottomLeft" activeCell="P22" sqref="P22"/>
      <selection pane="bottomRight" activeCell="B14" sqref="B14:W41"/>
    </sheetView>
  </sheetViews>
  <sheetFormatPr defaultColWidth="8.77734375" defaultRowHeight="12.95" customHeight="1"/>
  <cols>
    <col min="1" max="1" width="14.77734375" style="64" customWidth="1"/>
    <col min="2" max="23" width="11.77734375" style="14" customWidth="1"/>
    <col min="24" max="25" width="2.5546875" style="57" bestFit="1" customWidth="1"/>
    <col min="26" max="27" width="3.21875" style="57" bestFit="1" customWidth="1"/>
    <col min="28" max="28" width="3.44140625" style="57" bestFit="1" customWidth="1"/>
    <col min="29" max="29" width="4.33203125" style="15" customWidth="1"/>
    <col min="30" max="16384" width="8.77734375" style="15"/>
  </cols>
  <sheetData>
    <row r="1" spans="1:28" ht="15" customHeight="1">
      <c r="A1" s="88"/>
      <c r="V1" s="57"/>
      <c r="W1" s="57"/>
      <c r="AA1" s="15"/>
      <c r="AB1" s="15"/>
    </row>
    <row r="2" spans="1:28" ht="15" customHeight="1">
      <c r="A2" s="1" t="s">
        <v>129</v>
      </c>
      <c r="V2" s="57"/>
      <c r="AA2" s="15"/>
      <c r="AB2" s="15"/>
    </row>
    <row r="3" spans="1:28" ht="15" customHeight="1">
      <c r="A3" s="61" t="s">
        <v>141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57"/>
      <c r="AA3" s="15"/>
      <c r="AB3" s="15"/>
    </row>
    <row r="4" spans="1:28" ht="15" customHeight="1">
      <c r="V4" s="57"/>
      <c r="W4" s="57"/>
      <c r="AA4" s="15"/>
      <c r="AB4" s="15"/>
    </row>
    <row r="5" spans="1:28" ht="15" customHeight="1">
      <c r="V5" s="57"/>
      <c r="W5" s="57"/>
      <c r="AA5" s="15"/>
      <c r="AB5" s="15"/>
    </row>
    <row r="6" spans="1:28" s="14" customFormat="1" ht="15" customHeight="1" thickBot="1">
      <c r="A6" s="177" t="str">
        <f>'III-1'!A6</f>
        <v>2023. 1. 1. - 2023. 11. 30.</v>
      </c>
      <c r="B6" s="15"/>
      <c r="C6" s="15"/>
      <c r="D6" s="15"/>
      <c r="E6" s="15"/>
      <c r="F6" s="15"/>
      <c r="G6" s="15"/>
      <c r="H6" s="15"/>
      <c r="I6" s="15"/>
      <c r="J6" s="18"/>
      <c r="K6" s="15"/>
      <c r="L6" s="15"/>
      <c r="M6" s="15"/>
      <c r="N6" s="15"/>
      <c r="O6" s="15"/>
      <c r="P6" s="18"/>
      <c r="Q6" s="18"/>
      <c r="R6" s="15"/>
      <c r="S6" s="15"/>
      <c r="T6" s="15"/>
      <c r="U6" s="15"/>
      <c r="V6" s="307"/>
      <c r="W6" s="284" t="s">
        <v>81</v>
      </c>
      <c r="X6" s="57"/>
      <c r="Y6" s="57"/>
      <c r="Z6" s="57"/>
    </row>
    <row r="7" spans="1:28" s="66" customFormat="1" ht="15" customHeight="1">
      <c r="A7" s="315"/>
      <c r="B7" s="610" t="s">
        <v>148</v>
      </c>
      <c r="C7" s="611"/>
      <c r="D7" s="611"/>
      <c r="E7" s="611"/>
      <c r="F7" s="611"/>
      <c r="G7" s="611"/>
      <c r="H7" s="611"/>
      <c r="I7" s="611"/>
      <c r="J7" s="612"/>
      <c r="K7" s="610" t="s">
        <v>153</v>
      </c>
      <c r="L7" s="611"/>
      <c r="M7" s="611"/>
      <c r="N7" s="611"/>
      <c r="O7" s="611"/>
      <c r="P7" s="611"/>
      <c r="Q7" s="611"/>
      <c r="R7" s="611"/>
      <c r="S7" s="612"/>
      <c r="T7" s="610" t="s">
        <v>157</v>
      </c>
      <c r="U7" s="611"/>
      <c r="V7" s="611"/>
      <c r="W7" s="611"/>
      <c r="X7" s="65"/>
      <c r="Y7" s="65"/>
      <c r="Z7" s="65"/>
    </row>
    <row r="8" spans="1:28" s="66" customFormat="1" ht="15" customHeight="1">
      <c r="A8" s="313"/>
      <c r="B8" s="622" t="s">
        <v>147</v>
      </c>
      <c r="C8" s="623"/>
      <c r="D8" s="623"/>
      <c r="E8" s="623"/>
      <c r="F8" s="623"/>
      <c r="G8" s="624"/>
      <c r="H8" s="616" t="s">
        <v>25</v>
      </c>
      <c r="I8" s="619" t="s">
        <v>26</v>
      </c>
      <c r="J8" s="316"/>
      <c r="K8" s="607" t="s">
        <v>142</v>
      </c>
      <c r="L8" s="616" t="s">
        <v>149</v>
      </c>
      <c r="M8" s="607" t="s">
        <v>150</v>
      </c>
      <c r="N8" s="607" t="s">
        <v>143</v>
      </c>
      <c r="O8" s="607" t="s">
        <v>151</v>
      </c>
      <c r="P8" s="607" t="s">
        <v>152</v>
      </c>
      <c r="Q8" s="607" t="s">
        <v>154</v>
      </c>
      <c r="R8" s="607" t="s">
        <v>146</v>
      </c>
      <c r="S8" s="607" t="s">
        <v>33</v>
      </c>
      <c r="T8" s="607" t="s">
        <v>155</v>
      </c>
      <c r="U8" s="607" t="s">
        <v>156</v>
      </c>
      <c r="V8" s="607" t="s">
        <v>146</v>
      </c>
      <c r="W8" s="613" t="s">
        <v>30</v>
      </c>
      <c r="X8" s="65"/>
      <c r="Y8" s="65"/>
      <c r="Z8" s="65"/>
    </row>
    <row r="9" spans="1:28" s="66" customFormat="1" ht="15" customHeight="1">
      <c r="A9" s="313"/>
      <c r="B9" s="607" t="s">
        <v>142</v>
      </c>
      <c r="C9" s="607" t="s">
        <v>143</v>
      </c>
      <c r="D9" s="607" t="s">
        <v>144</v>
      </c>
      <c r="E9" s="607" t="s">
        <v>145</v>
      </c>
      <c r="F9" s="607" t="s">
        <v>146</v>
      </c>
      <c r="G9" s="607" t="s">
        <v>33</v>
      </c>
      <c r="H9" s="617"/>
      <c r="I9" s="620"/>
      <c r="J9" s="607" t="s">
        <v>144</v>
      </c>
      <c r="K9" s="608"/>
      <c r="L9" s="617"/>
      <c r="M9" s="608"/>
      <c r="N9" s="608"/>
      <c r="O9" s="608"/>
      <c r="P9" s="608"/>
      <c r="Q9" s="608"/>
      <c r="R9" s="608"/>
      <c r="S9" s="608"/>
      <c r="T9" s="608"/>
      <c r="U9" s="608"/>
      <c r="V9" s="608"/>
      <c r="W9" s="614"/>
      <c r="X9" s="65"/>
      <c r="Y9" s="65"/>
      <c r="Z9" s="65"/>
    </row>
    <row r="10" spans="1:28" s="66" customFormat="1" ht="15" customHeight="1">
      <c r="A10" s="313"/>
      <c r="B10" s="608"/>
      <c r="C10" s="608"/>
      <c r="D10" s="608"/>
      <c r="E10" s="608"/>
      <c r="F10" s="608"/>
      <c r="G10" s="608"/>
      <c r="H10" s="617"/>
      <c r="I10" s="620"/>
      <c r="J10" s="608"/>
      <c r="K10" s="608"/>
      <c r="L10" s="617"/>
      <c r="M10" s="608"/>
      <c r="N10" s="608"/>
      <c r="O10" s="608"/>
      <c r="P10" s="608"/>
      <c r="Q10" s="608"/>
      <c r="R10" s="608"/>
      <c r="S10" s="608"/>
      <c r="T10" s="608"/>
      <c r="U10" s="608"/>
      <c r="V10" s="608"/>
      <c r="W10" s="614"/>
      <c r="X10" s="65"/>
      <c r="Y10" s="65"/>
      <c r="Z10" s="65"/>
    </row>
    <row r="11" spans="1:28" s="66" customFormat="1" ht="15" customHeight="1">
      <c r="A11" s="313"/>
      <c r="B11" s="608"/>
      <c r="C11" s="608"/>
      <c r="D11" s="608"/>
      <c r="E11" s="608"/>
      <c r="F11" s="608"/>
      <c r="G11" s="608"/>
      <c r="H11" s="617"/>
      <c r="I11" s="620"/>
      <c r="J11" s="608"/>
      <c r="K11" s="608"/>
      <c r="L11" s="617"/>
      <c r="M11" s="608"/>
      <c r="N11" s="608"/>
      <c r="O11" s="608"/>
      <c r="P11" s="608"/>
      <c r="Q11" s="608"/>
      <c r="R11" s="608"/>
      <c r="S11" s="608"/>
      <c r="T11" s="608"/>
      <c r="U11" s="608"/>
      <c r="V11" s="608"/>
      <c r="W11" s="614"/>
      <c r="X11" s="65"/>
      <c r="Y11" s="65"/>
      <c r="Z11" s="65"/>
    </row>
    <row r="12" spans="1:28" s="66" customFormat="1" ht="15" customHeight="1">
      <c r="A12" s="314"/>
      <c r="B12" s="609"/>
      <c r="C12" s="609"/>
      <c r="D12" s="618"/>
      <c r="E12" s="609"/>
      <c r="F12" s="609"/>
      <c r="G12" s="609"/>
      <c r="H12" s="618"/>
      <c r="I12" s="621"/>
      <c r="J12" s="618"/>
      <c r="K12" s="609"/>
      <c r="L12" s="618"/>
      <c r="M12" s="609"/>
      <c r="N12" s="609"/>
      <c r="O12" s="609"/>
      <c r="P12" s="609"/>
      <c r="Q12" s="609"/>
      <c r="R12" s="609"/>
      <c r="S12" s="609"/>
      <c r="T12" s="609"/>
      <c r="U12" s="609"/>
      <c r="V12" s="609"/>
      <c r="W12" s="615"/>
      <c r="X12" s="65"/>
      <c r="Y12" s="65"/>
      <c r="Z12" s="65"/>
    </row>
    <row r="13" spans="1:28" s="14" customFormat="1" ht="15" customHeight="1">
      <c r="A13" s="285"/>
      <c r="B13" s="266"/>
      <c r="C13" s="265"/>
      <c r="D13" s="262"/>
      <c r="E13" s="265"/>
      <c r="F13" s="262"/>
      <c r="G13" s="265"/>
      <c r="H13" s="18"/>
      <c r="I13" s="265"/>
      <c r="J13" s="262"/>
      <c r="K13" s="265"/>
      <c r="L13" s="262"/>
      <c r="M13" s="265"/>
      <c r="N13" s="262"/>
      <c r="O13" s="265"/>
      <c r="P13" s="18"/>
      <c r="Q13" s="158"/>
      <c r="R13" s="262"/>
      <c r="S13" s="265"/>
      <c r="T13" s="262"/>
      <c r="U13" s="265"/>
      <c r="V13" s="308"/>
      <c r="W13" s="309"/>
      <c r="X13" s="57"/>
      <c r="Y13" s="57"/>
      <c r="Z13" s="57"/>
    </row>
    <row r="14" spans="1:28" s="17" customFormat="1" ht="15" customHeight="1">
      <c r="A14" s="229" t="s">
        <v>35</v>
      </c>
      <c r="B14" s="161">
        <v>0</v>
      </c>
      <c r="C14" s="159">
        <v>201177</v>
      </c>
      <c r="D14" s="161">
        <v>103465</v>
      </c>
      <c r="E14" s="159">
        <v>17865</v>
      </c>
      <c r="F14" s="161">
        <v>0</v>
      </c>
      <c r="G14" s="159">
        <v>322507</v>
      </c>
      <c r="H14" s="183">
        <v>-1</v>
      </c>
      <c r="I14" s="160">
        <v>1382</v>
      </c>
      <c r="J14" s="183">
        <v>0</v>
      </c>
      <c r="K14" s="160">
        <v>279635</v>
      </c>
      <c r="L14" s="183">
        <v>865</v>
      </c>
      <c r="M14" s="160">
        <v>7729599</v>
      </c>
      <c r="N14" s="183">
        <v>0</v>
      </c>
      <c r="O14" s="160">
        <v>0</v>
      </c>
      <c r="P14" s="183">
        <v>0</v>
      </c>
      <c r="Q14" s="160">
        <v>2072309</v>
      </c>
      <c r="R14" s="183">
        <v>191562</v>
      </c>
      <c r="S14" s="160">
        <v>10273970</v>
      </c>
      <c r="T14" s="183">
        <v>86131</v>
      </c>
      <c r="U14" s="160">
        <v>225454</v>
      </c>
      <c r="V14" s="183">
        <v>12303</v>
      </c>
      <c r="W14" s="267">
        <v>323888</v>
      </c>
      <c r="X14" s="58"/>
      <c r="Y14" s="58"/>
      <c r="Z14" s="58"/>
      <c r="AA14" s="58"/>
      <c r="AB14" s="58"/>
    </row>
    <row r="15" spans="1:28" s="17" customFormat="1" ht="15" customHeight="1">
      <c r="A15" s="229" t="s">
        <v>4</v>
      </c>
      <c r="B15" s="161">
        <v>14423</v>
      </c>
      <c r="C15" s="159">
        <v>18012</v>
      </c>
      <c r="D15" s="161">
        <v>515268</v>
      </c>
      <c r="E15" s="159">
        <v>930</v>
      </c>
      <c r="F15" s="161">
        <v>10899</v>
      </c>
      <c r="G15" s="159">
        <v>559532</v>
      </c>
      <c r="H15" s="183">
        <v>0</v>
      </c>
      <c r="I15" s="160">
        <v>210</v>
      </c>
      <c r="J15" s="183">
        <v>0</v>
      </c>
      <c r="K15" s="160">
        <v>23468</v>
      </c>
      <c r="L15" s="183">
        <v>204</v>
      </c>
      <c r="M15" s="160">
        <v>1559994</v>
      </c>
      <c r="N15" s="183">
        <v>4536</v>
      </c>
      <c r="O15" s="160">
        <v>1038</v>
      </c>
      <c r="P15" s="183">
        <v>3776</v>
      </c>
      <c r="Q15" s="160">
        <v>205</v>
      </c>
      <c r="R15" s="183">
        <v>1595</v>
      </c>
      <c r="S15" s="160">
        <v>1594815</v>
      </c>
      <c r="T15" s="183">
        <v>518782</v>
      </c>
      <c r="U15" s="160">
        <v>29025</v>
      </c>
      <c r="V15" s="183">
        <v>11935</v>
      </c>
      <c r="W15" s="267">
        <v>559742</v>
      </c>
      <c r="X15" s="58"/>
      <c r="Y15" s="58"/>
      <c r="Z15" s="58"/>
      <c r="AA15" s="58"/>
      <c r="AB15" s="58"/>
    </row>
    <row r="16" spans="1:28" s="17" customFormat="1" ht="15" customHeight="1">
      <c r="A16" s="229" t="s">
        <v>206</v>
      </c>
      <c r="B16" s="161">
        <v>440327</v>
      </c>
      <c r="C16" s="159">
        <v>132215</v>
      </c>
      <c r="D16" s="161">
        <v>2647155</v>
      </c>
      <c r="E16" s="159">
        <v>32129</v>
      </c>
      <c r="F16" s="161">
        <v>0</v>
      </c>
      <c r="G16" s="159">
        <v>3251825</v>
      </c>
      <c r="H16" s="183">
        <v>0</v>
      </c>
      <c r="I16" s="160">
        <v>6628</v>
      </c>
      <c r="J16" s="183">
        <v>0</v>
      </c>
      <c r="K16" s="160">
        <v>56751</v>
      </c>
      <c r="L16" s="183">
        <v>753</v>
      </c>
      <c r="M16" s="160">
        <v>14043665</v>
      </c>
      <c r="N16" s="183">
        <v>13951</v>
      </c>
      <c r="O16" s="160">
        <v>0</v>
      </c>
      <c r="P16" s="183">
        <v>52131</v>
      </c>
      <c r="Q16" s="160">
        <v>345006</v>
      </c>
      <c r="R16" s="183">
        <v>684182</v>
      </c>
      <c r="S16" s="160">
        <v>15196438</v>
      </c>
      <c r="T16" s="183">
        <v>3006997</v>
      </c>
      <c r="U16" s="160">
        <v>219005</v>
      </c>
      <c r="V16" s="183">
        <v>32452</v>
      </c>
      <c r="W16" s="267">
        <v>3258454</v>
      </c>
      <c r="X16" s="58"/>
      <c r="Y16" s="58"/>
      <c r="Z16" s="58"/>
      <c r="AA16" s="58"/>
      <c r="AB16" s="58"/>
    </row>
    <row r="17" spans="1:28" s="17" customFormat="1" ht="15" customHeight="1">
      <c r="A17" s="229" t="s">
        <v>207</v>
      </c>
      <c r="B17" s="161">
        <v>1845</v>
      </c>
      <c r="C17" s="159">
        <v>10966</v>
      </c>
      <c r="D17" s="161">
        <v>298204</v>
      </c>
      <c r="E17" s="159">
        <v>9</v>
      </c>
      <c r="F17" s="161">
        <v>0</v>
      </c>
      <c r="G17" s="159">
        <v>311024</v>
      </c>
      <c r="H17" s="183">
        <v>2175</v>
      </c>
      <c r="I17" s="310">
        <v>3</v>
      </c>
      <c r="J17" s="183">
        <v>0</v>
      </c>
      <c r="K17" s="160">
        <v>11129</v>
      </c>
      <c r="L17" s="183">
        <v>197</v>
      </c>
      <c r="M17" s="160">
        <v>1871851</v>
      </c>
      <c r="N17" s="183">
        <v>0</v>
      </c>
      <c r="O17" s="160">
        <v>0</v>
      </c>
      <c r="P17" s="183">
        <v>91309</v>
      </c>
      <c r="Q17" s="160">
        <v>0</v>
      </c>
      <c r="R17" s="183">
        <v>0</v>
      </c>
      <c r="S17" s="160">
        <v>1974486</v>
      </c>
      <c r="T17" s="183">
        <v>298783</v>
      </c>
      <c r="U17" s="160">
        <v>14352</v>
      </c>
      <c r="V17" s="183">
        <v>67</v>
      </c>
      <c r="W17" s="267">
        <v>313202</v>
      </c>
      <c r="X17" s="58"/>
      <c r="Y17" s="58"/>
      <c r="Z17" s="58"/>
      <c r="AA17" s="58"/>
      <c r="AB17" s="58"/>
    </row>
    <row r="18" spans="1:28" s="17" customFormat="1" ht="15" customHeight="1">
      <c r="A18" s="229" t="s">
        <v>208</v>
      </c>
      <c r="B18" s="161">
        <v>377280</v>
      </c>
      <c r="C18" s="159">
        <v>71770</v>
      </c>
      <c r="D18" s="161">
        <v>3519065</v>
      </c>
      <c r="E18" s="159">
        <v>21848</v>
      </c>
      <c r="F18" s="161">
        <v>0</v>
      </c>
      <c r="G18" s="159">
        <v>3989962</v>
      </c>
      <c r="H18" s="183">
        <v>2724</v>
      </c>
      <c r="I18" s="160">
        <v>17</v>
      </c>
      <c r="J18" s="183">
        <v>0</v>
      </c>
      <c r="K18" s="160">
        <v>195416</v>
      </c>
      <c r="L18" s="183">
        <v>1782</v>
      </c>
      <c r="M18" s="160">
        <v>6412674</v>
      </c>
      <c r="N18" s="183">
        <v>34420</v>
      </c>
      <c r="O18" s="160">
        <v>23321</v>
      </c>
      <c r="P18" s="183">
        <v>0</v>
      </c>
      <c r="Q18" s="160">
        <v>1117836</v>
      </c>
      <c r="R18" s="183">
        <v>0</v>
      </c>
      <c r="S18" s="160">
        <v>7785449</v>
      </c>
      <c r="T18" s="183">
        <v>3861290</v>
      </c>
      <c r="U18" s="160">
        <v>110126</v>
      </c>
      <c r="V18" s="183">
        <v>21288</v>
      </c>
      <c r="W18" s="267">
        <v>3992703</v>
      </c>
      <c r="X18" s="58"/>
      <c r="Y18" s="58"/>
      <c r="Z18" s="58"/>
      <c r="AA18" s="58"/>
      <c r="AB18" s="58"/>
    </row>
    <row r="19" spans="1:28" s="17" customFormat="1" ht="15" customHeight="1">
      <c r="A19" s="229" t="s">
        <v>8</v>
      </c>
      <c r="B19" s="161">
        <v>265</v>
      </c>
      <c r="C19" s="159">
        <v>67642</v>
      </c>
      <c r="D19" s="161">
        <v>11058</v>
      </c>
      <c r="E19" s="159">
        <v>3473</v>
      </c>
      <c r="F19" s="161">
        <v>0</v>
      </c>
      <c r="G19" s="159">
        <v>82438</v>
      </c>
      <c r="H19" s="183">
        <v>976</v>
      </c>
      <c r="I19" s="160">
        <v>127</v>
      </c>
      <c r="J19" s="183">
        <v>0</v>
      </c>
      <c r="K19" s="160">
        <v>0</v>
      </c>
      <c r="L19" s="183">
        <v>0</v>
      </c>
      <c r="M19" s="160">
        <v>703677</v>
      </c>
      <c r="N19" s="183">
        <v>0</v>
      </c>
      <c r="O19" s="160">
        <v>10546</v>
      </c>
      <c r="P19" s="183">
        <v>20361</v>
      </c>
      <c r="Q19" s="160">
        <v>0</v>
      </c>
      <c r="R19" s="183">
        <v>267</v>
      </c>
      <c r="S19" s="160">
        <v>734852</v>
      </c>
      <c r="T19" s="183">
        <v>56804</v>
      </c>
      <c r="U19" s="160">
        <v>22312</v>
      </c>
      <c r="V19" s="183">
        <v>4425</v>
      </c>
      <c r="W19" s="267">
        <v>83540</v>
      </c>
      <c r="X19" s="58"/>
      <c r="Y19" s="58"/>
      <c r="Z19" s="58"/>
      <c r="AA19" s="58"/>
      <c r="AB19" s="58"/>
    </row>
    <row r="20" spans="1:28" s="17" customFormat="1" ht="15" customHeight="1">
      <c r="A20" s="229" t="s">
        <v>209</v>
      </c>
      <c r="B20" s="161">
        <v>0</v>
      </c>
      <c r="C20" s="159">
        <v>49982</v>
      </c>
      <c r="D20" s="161">
        <v>62674</v>
      </c>
      <c r="E20" s="159">
        <v>1</v>
      </c>
      <c r="F20" s="161">
        <v>0</v>
      </c>
      <c r="G20" s="159">
        <v>112657</v>
      </c>
      <c r="H20" s="183">
        <v>0</v>
      </c>
      <c r="I20" s="160">
        <v>338</v>
      </c>
      <c r="J20" s="183">
        <v>0</v>
      </c>
      <c r="K20" s="160">
        <v>0</v>
      </c>
      <c r="L20" s="183">
        <v>2730</v>
      </c>
      <c r="M20" s="160">
        <v>2163688</v>
      </c>
      <c r="N20" s="183">
        <v>0</v>
      </c>
      <c r="O20" s="160">
        <v>2444</v>
      </c>
      <c r="P20" s="183">
        <v>53213</v>
      </c>
      <c r="Q20" s="160">
        <v>279815</v>
      </c>
      <c r="R20" s="183">
        <v>0</v>
      </c>
      <c r="S20" s="160">
        <v>2501890</v>
      </c>
      <c r="T20" s="183">
        <v>92378</v>
      </c>
      <c r="U20" s="160">
        <v>20613</v>
      </c>
      <c r="V20" s="183">
        <v>4</v>
      </c>
      <c r="W20" s="267">
        <v>112995</v>
      </c>
      <c r="X20" s="58"/>
      <c r="Y20" s="58"/>
      <c r="Z20" s="58"/>
      <c r="AA20" s="58"/>
      <c r="AB20" s="58"/>
    </row>
    <row r="21" spans="1:28" s="17" customFormat="1" ht="15" customHeight="1">
      <c r="A21" s="229" t="s">
        <v>10</v>
      </c>
      <c r="B21" s="161">
        <v>6727</v>
      </c>
      <c r="C21" s="159">
        <v>14359</v>
      </c>
      <c r="D21" s="161">
        <v>-3020</v>
      </c>
      <c r="E21" s="159">
        <v>8</v>
      </c>
      <c r="F21" s="161">
        <v>0</v>
      </c>
      <c r="G21" s="159">
        <v>18074</v>
      </c>
      <c r="H21" s="183">
        <v>138</v>
      </c>
      <c r="I21" s="160">
        <v>215</v>
      </c>
      <c r="J21" s="183">
        <v>0</v>
      </c>
      <c r="K21" s="160">
        <v>5033</v>
      </c>
      <c r="L21" s="183">
        <v>0</v>
      </c>
      <c r="M21" s="160">
        <v>1659186</v>
      </c>
      <c r="N21" s="183">
        <v>3117</v>
      </c>
      <c r="O21" s="160">
        <v>3944</v>
      </c>
      <c r="P21" s="183">
        <v>32188</v>
      </c>
      <c r="Q21" s="160">
        <v>0</v>
      </c>
      <c r="R21" s="183">
        <v>162541</v>
      </c>
      <c r="S21" s="160">
        <v>1866010</v>
      </c>
      <c r="T21" s="183">
        <v>-5648</v>
      </c>
      <c r="U21" s="160">
        <v>21272</v>
      </c>
      <c r="V21" s="183">
        <v>2803</v>
      </c>
      <c r="W21" s="267">
        <v>18427</v>
      </c>
      <c r="X21" s="58"/>
      <c r="Y21" s="58"/>
      <c r="Z21" s="58"/>
      <c r="AA21" s="58"/>
      <c r="AB21" s="58"/>
    </row>
    <row r="22" spans="1:28" s="17" customFormat="1" ht="15" customHeight="1">
      <c r="A22" s="229" t="s">
        <v>11</v>
      </c>
      <c r="B22" s="161">
        <v>2766</v>
      </c>
      <c r="C22" s="159">
        <v>31081</v>
      </c>
      <c r="D22" s="161">
        <v>3109</v>
      </c>
      <c r="E22" s="159">
        <v>195</v>
      </c>
      <c r="F22" s="161">
        <v>0</v>
      </c>
      <c r="G22" s="159">
        <v>37152</v>
      </c>
      <c r="H22" s="183">
        <v>584</v>
      </c>
      <c r="I22" s="160">
        <v>1</v>
      </c>
      <c r="J22" s="183">
        <v>0</v>
      </c>
      <c r="K22" s="160">
        <v>0</v>
      </c>
      <c r="L22" s="183">
        <v>141</v>
      </c>
      <c r="M22" s="160">
        <v>1502989</v>
      </c>
      <c r="N22" s="183">
        <v>0</v>
      </c>
      <c r="O22" s="160">
        <v>9856</v>
      </c>
      <c r="P22" s="183">
        <v>29867</v>
      </c>
      <c r="Q22" s="160">
        <v>69107</v>
      </c>
      <c r="R22" s="183">
        <v>0</v>
      </c>
      <c r="S22" s="160">
        <v>1611960</v>
      </c>
      <c r="T22" s="183">
        <v>2644</v>
      </c>
      <c r="U22" s="160">
        <v>34717</v>
      </c>
      <c r="V22" s="183">
        <v>376</v>
      </c>
      <c r="W22" s="267">
        <v>37737</v>
      </c>
      <c r="X22" s="58"/>
      <c r="Y22" s="58"/>
      <c r="Z22" s="58"/>
      <c r="AA22" s="58"/>
      <c r="AB22" s="58"/>
    </row>
    <row r="23" spans="1:28" s="17" customFormat="1" ht="15" customHeight="1">
      <c r="A23" s="229" t="s">
        <v>210</v>
      </c>
      <c r="B23" s="161">
        <v>16222</v>
      </c>
      <c r="C23" s="159">
        <v>36358</v>
      </c>
      <c r="D23" s="161">
        <v>379229</v>
      </c>
      <c r="E23" s="159">
        <v>51</v>
      </c>
      <c r="F23" s="161">
        <v>0</v>
      </c>
      <c r="G23" s="159">
        <v>431860</v>
      </c>
      <c r="H23" s="183">
        <v>3941</v>
      </c>
      <c r="I23" s="160">
        <v>55710</v>
      </c>
      <c r="J23" s="183">
        <v>55771</v>
      </c>
      <c r="K23" s="160">
        <v>1974</v>
      </c>
      <c r="L23" s="183">
        <v>42</v>
      </c>
      <c r="M23" s="160">
        <v>2516484</v>
      </c>
      <c r="N23" s="183">
        <v>1219</v>
      </c>
      <c r="O23" s="160">
        <v>29642</v>
      </c>
      <c r="P23" s="183">
        <v>389246</v>
      </c>
      <c r="Q23" s="160">
        <v>0</v>
      </c>
      <c r="R23" s="183">
        <v>16831</v>
      </c>
      <c r="S23" s="160">
        <v>2955438</v>
      </c>
      <c r="T23" s="183">
        <v>427412</v>
      </c>
      <c r="U23" s="160">
        <v>53116</v>
      </c>
      <c r="V23" s="183">
        <v>10984</v>
      </c>
      <c r="W23" s="267">
        <v>491511</v>
      </c>
      <c r="X23" s="58"/>
      <c r="Y23" s="58"/>
      <c r="Z23" s="58"/>
      <c r="AA23" s="58"/>
      <c r="AB23" s="58"/>
    </row>
    <row r="24" spans="1:28" s="17" customFormat="1" ht="15" customHeight="1">
      <c r="A24" s="229" t="s">
        <v>211</v>
      </c>
      <c r="B24" s="161">
        <v>156105</v>
      </c>
      <c r="C24" s="159">
        <v>41513</v>
      </c>
      <c r="D24" s="161">
        <v>148343</v>
      </c>
      <c r="E24" s="159">
        <v>11</v>
      </c>
      <c r="F24" s="161">
        <v>0</v>
      </c>
      <c r="G24" s="159">
        <v>345972</v>
      </c>
      <c r="H24" s="183">
        <v>0</v>
      </c>
      <c r="I24" s="160">
        <v>20</v>
      </c>
      <c r="J24" s="183">
        <v>0</v>
      </c>
      <c r="K24" s="160">
        <v>57556</v>
      </c>
      <c r="L24" s="183">
        <v>46</v>
      </c>
      <c r="M24" s="160">
        <v>2612593</v>
      </c>
      <c r="N24" s="183">
        <v>0</v>
      </c>
      <c r="O24" s="160">
        <v>0</v>
      </c>
      <c r="P24" s="183">
        <v>730</v>
      </c>
      <c r="Q24" s="160">
        <v>334</v>
      </c>
      <c r="R24" s="183">
        <v>9101</v>
      </c>
      <c r="S24" s="160">
        <v>2680361</v>
      </c>
      <c r="T24" s="183">
        <v>309386</v>
      </c>
      <c r="U24" s="160">
        <v>36605</v>
      </c>
      <c r="V24" s="183">
        <v>1</v>
      </c>
      <c r="W24" s="267">
        <v>345992</v>
      </c>
      <c r="X24" s="58"/>
      <c r="Y24" s="58"/>
      <c r="Z24" s="58"/>
      <c r="AA24" s="58"/>
      <c r="AB24" s="58"/>
    </row>
    <row r="25" spans="1:28" s="17" customFormat="1" ht="15" customHeight="1">
      <c r="A25" s="229" t="s">
        <v>27</v>
      </c>
      <c r="B25" s="161">
        <v>1911</v>
      </c>
      <c r="C25" s="159">
        <v>69962</v>
      </c>
      <c r="D25" s="161">
        <v>58495</v>
      </c>
      <c r="E25" s="159">
        <v>0</v>
      </c>
      <c r="F25" s="161">
        <v>1379</v>
      </c>
      <c r="G25" s="159">
        <v>131747</v>
      </c>
      <c r="H25" s="183">
        <v>182</v>
      </c>
      <c r="I25" s="160">
        <v>1692</v>
      </c>
      <c r="J25" s="183">
        <v>1515</v>
      </c>
      <c r="K25" s="160">
        <v>0</v>
      </c>
      <c r="L25" s="183">
        <v>392</v>
      </c>
      <c r="M25" s="160">
        <v>2841887</v>
      </c>
      <c r="N25" s="183">
        <v>0</v>
      </c>
      <c r="O25" s="160">
        <v>31225</v>
      </c>
      <c r="P25" s="183">
        <v>267100</v>
      </c>
      <c r="Q25" s="160">
        <v>0</v>
      </c>
      <c r="R25" s="183">
        <v>0</v>
      </c>
      <c r="S25" s="160">
        <v>3140604</v>
      </c>
      <c r="T25" s="183">
        <v>78900</v>
      </c>
      <c r="U25" s="160">
        <v>52755</v>
      </c>
      <c r="V25" s="183">
        <v>1965</v>
      </c>
      <c r="W25" s="267">
        <v>133621</v>
      </c>
      <c r="X25" s="58"/>
      <c r="Y25" s="58"/>
      <c r="Z25" s="58"/>
      <c r="AA25" s="58"/>
      <c r="AB25" s="58"/>
    </row>
    <row r="26" spans="1:28" s="17" customFormat="1" ht="15" customHeight="1">
      <c r="A26" s="237" t="s">
        <v>23</v>
      </c>
      <c r="B26" s="161">
        <v>54920</v>
      </c>
      <c r="C26" s="159">
        <v>30626</v>
      </c>
      <c r="D26" s="161">
        <v>25295</v>
      </c>
      <c r="E26" s="159">
        <v>820</v>
      </c>
      <c r="F26" s="161">
        <v>0</v>
      </c>
      <c r="G26" s="159">
        <v>111662</v>
      </c>
      <c r="H26" s="183">
        <v>12317</v>
      </c>
      <c r="I26" s="160">
        <v>183</v>
      </c>
      <c r="J26" s="183">
        <v>0</v>
      </c>
      <c r="K26" s="160">
        <v>2890</v>
      </c>
      <c r="L26" s="183">
        <v>0</v>
      </c>
      <c r="M26" s="160">
        <v>4790796</v>
      </c>
      <c r="N26" s="183">
        <v>0</v>
      </c>
      <c r="O26" s="160">
        <v>40484</v>
      </c>
      <c r="P26" s="183">
        <v>523158</v>
      </c>
      <c r="Q26" s="160">
        <v>129337</v>
      </c>
      <c r="R26" s="183">
        <v>18030</v>
      </c>
      <c r="S26" s="160">
        <v>5504696</v>
      </c>
      <c r="T26" s="183">
        <v>53048</v>
      </c>
      <c r="U26" s="160">
        <v>70727</v>
      </c>
      <c r="V26" s="183">
        <v>387</v>
      </c>
      <c r="W26" s="267">
        <v>124162</v>
      </c>
      <c r="X26" s="58"/>
      <c r="Y26" s="58"/>
      <c r="Z26" s="58"/>
      <c r="AA26" s="58"/>
      <c r="AB26" s="58"/>
    </row>
    <row r="27" spans="1:28" s="17" customFormat="1" ht="15" customHeight="1">
      <c r="A27" s="229" t="s">
        <v>212</v>
      </c>
      <c r="B27" s="161">
        <v>-9</v>
      </c>
      <c r="C27" s="159">
        <v>1368</v>
      </c>
      <c r="D27" s="161">
        <v>0</v>
      </c>
      <c r="E27" s="159">
        <v>0</v>
      </c>
      <c r="F27" s="161">
        <v>0</v>
      </c>
      <c r="G27" s="159">
        <v>1358</v>
      </c>
      <c r="H27" s="183">
        <v>0</v>
      </c>
      <c r="I27" s="160">
        <v>0</v>
      </c>
      <c r="J27" s="183">
        <v>0</v>
      </c>
      <c r="K27" s="160">
        <v>1947</v>
      </c>
      <c r="L27" s="183">
        <v>0</v>
      </c>
      <c r="M27" s="160">
        <v>142873</v>
      </c>
      <c r="N27" s="183">
        <v>0</v>
      </c>
      <c r="O27" s="160">
        <v>0</v>
      </c>
      <c r="P27" s="183">
        <v>13493</v>
      </c>
      <c r="Q27" s="160">
        <v>2726</v>
      </c>
      <c r="R27" s="183">
        <v>0</v>
      </c>
      <c r="S27" s="160">
        <v>161039</v>
      </c>
      <c r="T27" s="183">
        <v>0</v>
      </c>
      <c r="U27" s="160">
        <v>1358</v>
      </c>
      <c r="V27" s="183">
        <v>0</v>
      </c>
      <c r="W27" s="267">
        <v>1358</v>
      </c>
      <c r="X27" s="58"/>
      <c r="Y27" s="58"/>
      <c r="Z27" s="58"/>
      <c r="AA27" s="58"/>
      <c r="AB27" s="58"/>
    </row>
    <row r="28" spans="1:28" s="17" customFormat="1" ht="15" customHeight="1">
      <c r="A28" s="229" t="s">
        <v>213</v>
      </c>
      <c r="B28" s="161">
        <v>24435</v>
      </c>
      <c r="C28" s="159">
        <v>32060</v>
      </c>
      <c r="D28" s="161">
        <v>299147</v>
      </c>
      <c r="E28" s="159">
        <v>4400</v>
      </c>
      <c r="F28" s="161">
        <v>0</v>
      </c>
      <c r="G28" s="159">
        <v>360042</v>
      </c>
      <c r="H28" s="183">
        <v>10</v>
      </c>
      <c r="I28" s="160">
        <v>1665</v>
      </c>
      <c r="J28" s="183">
        <v>0</v>
      </c>
      <c r="K28" s="160">
        <v>0</v>
      </c>
      <c r="L28" s="183">
        <v>0</v>
      </c>
      <c r="M28" s="160">
        <v>454280</v>
      </c>
      <c r="N28" s="183">
        <v>0</v>
      </c>
      <c r="O28" s="160">
        <v>-48148</v>
      </c>
      <c r="P28" s="183">
        <v>16553</v>
      </c>
      <c r="Q28" s="160">
        <v>0</v>
      </c>
      <c r="R28" s="183">
        <v>0</v>
      </c>
      <c r="S28" s="160">
        <v>422685</v>
      </c>
      <c r="T28" s="183">
        <v>339188</v>
      </c>
      <c r="U28" s="160">
        <v>14844</v>
      </c>
      <c r="V28" s="183">
        <v>7686</v>
      </c>
      <c r="W28" s="267">
        <v>361717</v>
      </c>
      <c r="X28" s="58"/>
      <c r="Y28" s="58"/>
      <c r="Z28" s="58"/>
      <c r="AA28" s="58"/>
      <c r="AB28" s="58"/>
    </row>
    <row r="29" spans="1:28" s="17" customFormat="1" ht="15" customHeight="1">
      <c r="A29" s="229" t="s">
        <v>214</v>
      </c>
      <c r="B29" s="161">
        <v>0</v>
      </c>
      <c r="C29" s="159">
        <v>8038</v>
      </c>
      <c r="D29" s="161">
        <v>653532</v>
      </c>
      <c r="E29" s="159">
        <v>38</v>
      </c>
      <c r="F29" s="161">
        <v>0</v>
      </c>
      <c r="G29" s="159">
        <v>661608</v>
      </c>
      <c r="H29" s="183">
        <v>10</v>
      </c>
      <c r="I29" s="160">
        <v>1316</v>
      </c>
      <c r="J29" s="183">
        <v>1306</v>
      </c>
      <c r="K29" s="160">
        <v>0</v>
      </c>
      <c r="L29" s="183">
        <v>0</v>
      </c>
      <c r="M29" s="160">
        <v>155793</v>
      </c>
      <c r="N29" s="183">
        <v>0</v>
      </c>
      <c r="O29" s="160">
        <v>14113</v>
      </c>
      <c r="P29" s="183">
        <v>2824</v>
      </c>
      <c r="Q29" s="160">
        <v>0</v>
      </c>
      <c r="R29" s="183">
        <v>224</v>
      </c>
      <c r="S29" s="160">
        <v>172954</v>
      </c>
      <c r="T29" s="183">
        <v>658005</v>
      </c>
      <c r="U29" s="160">
        <v>3955</v>
      </c>
      <c r="V29" s="183">
        <v>974</v>
      </c>
      <c r="W29" s="267">
        <v>662934</v>
      </c>
      <c r="X29" s="58"/>
      <c r="Y29" s="58"/>
      <c r="Z29" s="58"/>
      <c r="AA29" s="58"/>
      <c r="AB29" s="89"/>
    </row>
    <row r="30" spans="1:28" s="17" customFormat="1" ht="15" customHeight="1">
      <c r="A30" s="229" t="s">
        <v>215</v>
      </c>
      <c r="B30" s="161">
        <v>7419</v>
      </c>
      <c r="C30" s="159">
        <v>6984</v>
      </c>
      <c r="D30" s="161">
        <v>1013607</v>
      </c>
      <c r="E30" s="159">
        <v>8074</v>
      </c>
      <c r="F30" s="161">
        <v>0</v>
      </c>
      <c r="G30" s="159">
        <v>1036085</v>
      </c>
      <c r="H30" s="183">
        <v>773</v>
      </c>
      <c r="I30" s="160">
        <v>0</v>
      </c>
      <c r="J30" s="183">
        <v>0</v>
      </c>
      <c r="K30" s="160">
        <v>4795</v>
      </c>
      <c r="L30" s="183">
        <v>0</v>
      </c>
      <c r="M30" s="160">
        <v>321870</v>
      </c>
      <c r="N30" s="183">
        <v>0</v>
      </c>
      <c r="O30" s="160">
        <v>361</v>
      </c>
      <c r="P30" s="183">
        <v>56609</v>
      </c>
      <c r="Q30" s="160">
        <v>59000</v>
      </c>
      <c r="R30" s="183">
        <v>33778</v>
      </c>
      <c r="S30" s="160">
        <v>476414</v>
      </c>
      <c r="T30" s="183">
        <v>1015729</v>
      </c>
      <c r="U30" s="160">
        <v>11945</v>
      </c>
      <c r="V30" s="183">
        <v>9184</v>
      </c>
      <c r="W30" s="267">
        <v>1036858</v>
      </c>
      <c r="X30" s="58"/>
      <c r="Y30" s="58"/>
      <c r="Z30" s="58"/>
      <c r="AA30" s="58"/>
      <c r="AB30" s="58"/>
    </row>
    <row r="31" spans="1:28" s="17" customFormat="1" ht="15" customHeight="1">
      <c r="A31" s="229" t="s">
        <v>216</v>
      </c>
      <c r="B31" s="161">
        <v>505</v>
      </c>
      <c r="C31" s="159">
        <v>15878</v>
      </c>
      <c r="D31" s="161">
        <v>2362</v>
      </c>
      <c r="E31" s="159">
        <v>3</v>
      </c>
      <c r="F31" s="161">
        <v>0</v>
      </c>
      <c r="G31" s="159">
        <v>18748</v>
      </c>
      <c r="H31" s="183">
        <v>16320</v>
      </c>
      <c r="I31" s="160">
        <v>71</v>
      </c>
      <c r="J31" s="183">
        <v>0</v>
      </c>
      <c r="K31" s="160">
        <v>0</v>
      </c>
      <c r="L31" s="183">
        <v>19</v>
      </c>
      <c r="M31" s="160">
        <v>1611199</v>
      </c>
      <c r="N31" s="183">
        <v>0</v>
      </c>
      <c r="O31" s="160">
        <v>255830</v>
      </c>
      <c r="P31" s="183">
        <v>933387</v>
      </c>
      <c r="Q31" s="160">
        <v>0</v>
      </c>
      <c r="R31" s="183">
        <v>-1446</v>
      </c>
      <c r="S31" s="160">
        <v>2798989</v>
      </c>
      <c r="T31" s="183">
        <v>150</v>
      </c>
      <c r="U31" s="160">
        <v>34965</v>
      </c>
      <c r="V31" s="183">
        <v>23</v>
      </c>
      <c r="W31" s="267">
        <v>35138</v>
      </c>
      <c r="X31" s="58"/>
      <c r="Y31" s="58"/>
      <c r="Z31" s="58"/>
      <c r="AA31" s="58"/>
      <c r="AB31" s="58"/>
    </row>
    <row r="32" spans="1:28" s="17" customFormat="1" ht="15" customHeight="1">
      <c r="A32" s="229" t="s">
        <v>19</v>
      </c>
      <c r="B32" s="161">
        <v>4017</v>
      </c>
      <c r="C32" s="159">
        <v>1433</v>
      </c>
      <c r="D32" s="161">
        <v>514945</v>
      </c>
      <c r="E32" s="159">
        <v>1914</v>
      </c>
      <c r="F32" s="161">
        <v>0</v>
      </c>
      <c r="G32" s="159">
        <v>522309</v>
      </c>
      <c r="H32" s="183">
        <v>9518</v>
      </c>
      <c r="I32" s="160">
        <v>33</v>
      </c>
      <c r="J32" s="183">
        <v>0</v>
      </c>
      <c r="K32" s="160">
        <v>0</v>
      </c>
      <c r="L32" s="183">
        <v>28</v>
      </c>
      <c r="M32" s="160">
        <v>1226292</v>
      </c>
      <c r="N32" s="183">
        <v>0</v>
      </c>
      <c r="O32" s="160">
        <v>38515</v>
      </c>
      <c r="P32" s="183">
        <v>434460</v>
      </c>
      <c r="Q32" s="160">
        <v>5316</v>
      </c>
      <c r="R32" s="183">
        <v>0</v>
      </c>
      <c r="S32" s="160">
        <v>1704611</v>
      </c>
      <c r="T32" s="183">
        <v>516370</v>
      </c>
      <c r="U32" s="160">
        <v>13202</v>
      </c>
      <c r="V32" s="183">
        <v>2289</v>
      </c>
      <c r="W32" s="267">
        <v>531861</v>
      </c>
      <c r="X32" s="58"/>
      <c r="Y32" s="58"/>
      <c r="Z32" s="58"/>
      <c r="AA32" s="58"/>
      <c r="AB32" s="58"/>
    </row>
    <row r="33" spans="1:28" s="17" customFormat="1" ht="15" customHeight="1">
      <c r="A33" s="229" t="s">
        <v>20</v>
      </c>
      <c r="B33" s="161">
        <v>0</v>
      </c>
      <c r="C33" s="159">
        <v>3519</v>
      </c>
      <c r="D33" s="161">
        <v>11129</v>
      </c>
      <c r="E33" s="159">
        <v>0</v>
      </c>
      <c r="F33" s="161">
        <v>0</v>
      </c>
      <c r="G33" s="159">
        <v>14648</v>
      </c>
      <c r="H33" s="183">
        <v>63</v>
      </c>
      <c r="I33" s="160">
        <v>1830</v>
      </c>
      <c r="J33" s="183">
        <v>1626</v>
      </c>
      <c r="K33" s="160">
        <v>0</v>
      </c>
      <c r="L33" s="183">
        <v>0</v>
      </c>
      <c r="M33" s="160">
        <v>736388</v>
      </c>
      <c r="N33" s="183">
        <v>0</v>
      </c>
      <c r="O33" s="160">
        <v>59476</v>
      </c>
      <c r="P33" s="183">
        <v>0</v>
      </c>
      <c r="Q33" s="160">
        <v>139791</v>
      </c>
      <c r="R33" s="183">
        <v>44301</v>
      </c>
      <c r="S33" s="160">
        <v>979957</v>
      </c>
      <c r="T33" s="183">
        <v>270</v>
      </c>
      <c r="U33" s="160">
        <v>16272</v>
      </c>
      <c r="V33" s="183">
        <v>0</v>
      </c>
      <c r="W33" s="267">
        <v>16542</v>
      </c>
      <c r="X33" s="58"/>
      <c r="Y33" s="58"/>
      <c r="Z33" s="58"/>
      <c r="AA33" s="58"/>
      <c r="AB33" s="58"/>
    </row>
    <row r="34" spans="1:28" s="17" customFormat="1" ht="15" customHeight="1">
      <c r="A34" s="229" t="s">
        <v>217</v>
      </c>
      <c r="B34" s="161">
        <v>3451</v>
      </c>
      <c r="C34" s="159">
        <v>9600</v>
      </c>
      <c r="D34" s="161">
        <v>835899</v>
      </c>
      <c r="E34" s="159">
        <v>172</v>
      </c>
      <c r="F34" s="161">
        <v>0</v>
      </c>
      <c r="G34" s="159">
        <v>849122</v>
      </c>
      <c r="H34" s="183">
        <v>1218</v>
      </c>
      <c r="I34" s="160">
        <v>630</v>
      </c>
      <c r="J34" s="183">
        <v>152</v>
      </c>
      <c r="K34" s="160">
        <v>0</v>
      </c>
      <c r="L34" s="183">
        <v>0</v>
      </c>
      <c r="M34" s="160">
        <v>2592649</v>
      </c>
      <c r="N34" s="183">
        <v>0</v>
      </c>
      <c r="O34" s="160">
        <v>215587</v>
      </c>
      <c r="P34" s="183">
        <v>126411</v>
      </c>
      <c r="Q34" s="160">
        <v>315758</v>
      </c>
      <c r="R34" s="183">
        <v>540639</v>
      </c>
      <c r="S34" s="160">
        <v>3791045</v>
      </c>
      <c r="T34" s="183">
        <v>689392</v>
      </c>
      <c r="U34" s="160">
        <v>36473</v>
      </c>
      <c r="V34" s="183">
        <v>125105</v>
      </c>
      <c r="W34" s="267">
        <v>850970</v>
      </c>
      <c r="X34" s="58"/>
      <c r="Y34" s="58"/>
      <c r="Z34" s="58"/>
      <c r="AA34" s="58"/>
      <c r="AB34" s="58"/>
    </row>
    <row r="35" spans="1:28" s="17" customFormat="1" ht="15" customHeight="1">
      <c r="A35" s="229" t="s">
        <v>218</v>
      </c>
      <c r="B35" s="161">
        <v>0</v>
      </c>
      <c r="C35" s="159">
        <v>0</v>
      </c>
      <c r="D35" s="161">
        <v>0</v>
      </c>
      <c r="E35" s="159">
        <v>0</v>
      </c>
      <c r="F35" s="161">
        <v>0</v>
      </c>
      <c r="G35" s="159">
        <v>0</v>
      </c>
      <c r="H35" s="183">
        <v>0</v>
      </c>
      <c r="I35" s="160">
        <v>108311</v>
      </c>
      <c r="J35" s="183">
        <v>107515</v>
      </c>
      <c r="K35" s="160">
        <v>0</v>
      </c>
      <c r="L35" s="183">
        <v>0</v>
      </c>
      <c r="M35" s="160">
        <v>75616</v>
      </c>
      <c r="N35" s="183">
        <v>0</v>
      </c>
      <c r="O35" s="160">
        <v>11105</v>
      </c>
      <c r="P35" s="183">
        <v>0</v>
      </c>
      <c r="Q35" s="160">
        <v>47</v>
      </c>
      <c r="R35" s="183">
        <v>6945</v>
      </c>
      <c r="S35" s="160">
        <v>93712</v>
      </c>
      <c r="T35" s="183">
        <v>107692</v>
      </c>
      <c r="U35" s="160">
        <v>608</v>
      </c>
      <c r="V35" s="183">
        <v>11</v>
      </c>
      <c r="W35" s="267">
        <v>108311</v>
      </c>
      <c r="X35" s="58"/>
      <c r="Y35" s="58"/>
      <c r="Z35" s="58"/>
      <c r="AA35" s="58"/>
      <c r="AB35" s="58"/>
    </row>
    <row r="36" spans="1:28" s="17" customFormat="1" ht="15" customHeight="1">
      <c r="A36" s="229"/>
      <c r="B36" s="161" t="s">
        <v>2</v>
      </c>
      <c r="C36" s="159" t="s">
        <v>2</v>
      </c>
      <c r="D36" s="161" t="s">
        <v>2</v>
      </c>
      <c r="E36" s="159" t="s">
        <v>2</v>
      </c>
      <c r="F36" s="161" t="s">
        <v>2</v>
      </c>
      <c r="G36" s="159" t="s">
        <v>2</v>
      </c>
      <c r="H36" s="183" t="s">
        <v>2</v>
      </c>
      <c r="I36" s="160" t="s">
        <v>2</v>
      </c>
      <c r="J36" s="183" t="s">
        <v>2</v>
      </c>
      <c r="K36" s="160" t="s">
        <v>2</v>
      </c>
      <c r="L36" s="183" t="s">
        <v>2</v>
      </c>
      <c r="M36" s="160" t="s">
        <v>2</v>
      </c>
      <c r="N36" s="183" t="s">
        <v>2</v>
      </c>
      <c r="O36" s="160" t="s">
        <v>2</v>
      </c>
      <c r="P36" s="183" t="s">
        <v>2</v>
      </c>
      <c r="Q36" s="160" t="s">
        <v>2</v>
      </c>
      <c r="R36" s="183" t="s">
        <v>2</v>
      </c>
      <c r="S36" s="160" t="s">
        <v>2</v>
      </c>
      <c r="T36" s="183" t="s">
        <v>2</v>
      </c>
      <c r="U36" s="160" t="s">
        <v>2</v>
      </c>
      <c r="V36" s="183" t="s">
        <v>2</v>
      </c>
      <c r="W36" s="267" t="s">
        <v>2</v>
      </c>
      <c r="X36" s="58"/>
      <c r="Y36" s="58"/>
      <c r="Z36" s="58"/>
      <c r="AA36" s="58"/>
      <c r="AB36" s="58"/>
    </row>
    <row r="37" spans="1:28" s="17" customFormat="1" ht="15" customHeight="1">
      <c r="A37" s="165" t="s">
        <v>30</v>
      </c>
      <c r="B37" s="414">
        <v>1112610</v>
      </c>
      <c r="C37" s="426">
        <v>854544</v>
      </c>
      <c r="D37" s="427">
        <v>11098960</v>
      </c>
      <c r="E37" s="426">
        <v>91940</v>
      </c>
      <c r="F37" s="427">
        <v>12278</v>
      </c>
      <c r="G37" s="426">
        <v>13170332</v>
      </c>
      <c r="H37" s="427">
        <v>50948</v>
      </c>
      <c r="I37" s="426">
        <v>180382</v>
      </c>
      <c r="J37" s="427">
        <v>167885</v>
      </c>
      <c r="K37" s="426">
        <v>640592</v>
      </c>
      <c r="L37" s="427">
        <v>7199</v>
      </c>
      <c r="M37" s="426">
        <v>57726044</v>
      </c>
      <c r="N37" s="427">
        <v>57243</v>
      </c>
      <c r="O37" s="426">
        <v>699340</v>
      </c>
      <c r="P37" s="427">
        <v>3046817</v>
      </c>
      <c r="Q37" s="426">
        <v>4536587</v>
      </c>
      <c r="R37" s="427">
        <v>1708552</v>
      </c>
      <c r="S37" s="426">
        <v>68422375</v>
      </c>
      <c r="T37" s="427">
        <v>12113701</v>
      </c>
      <c r="U37" s="426">
        <v>1043700</v>
      </c>
      <c r="V37" s="427">
        <v>244261</v>
      </c>
      <c r="W37" s="428">
        <v>13401662</v>
      </c>
      <c r="X37" s="58"/>
      <c r="Y37" s="58"/>
      <c r="Z37" s="58"/>
      <c r="AA37" s="58"/>
      <c r="AB37" s="58"/>
    </row>
    <row r="38" spans="1:28" s="17" customFormat="1" ht="15" customHeight="1">
      <c r="A38" s="165"/>
      <c r="B38" s="414" t="s">
        <v>2</v>
      </c>
      <c r="C38" s="426" t="s">
        <v>2</v>
      </c>
      <c r="D38" s="427" t="s">
        <v>2</v>
      </c>
      <c r="E38" s="426" t="s">
        <v>2</v>
      </c>
      <c r="F38" s="427" t="s">
        <v>2</v>
      </c>
      <c r="G38" s="426" t="s">
        <v>2</v>
      </c>
      <c r="H38" s="427" t="s">
        <v>2</v>
      </c>
      <c r="I38" s="426" t="s">
        <v>2</v>
      </c>
      <c r="J38" s="427" t="s">
        <v>2</v>
      </c>
      <c r="K38" s="426" t="s">
        <v>2</v>
      </c>
      <c r="L38" s="427" t="s">
        <v>2</v>
      </c>
      <c r="M38" s="426" t="s">
        <v>2</v>
      </c>
      <c r="N38" s="427" t="s">
        <v>2</v>
      </c>
      <c r="O38" s="426" t="s">
        <v>2</v>
      </c>
      <c r="P38" s="427" t="s">
        <v>2</v>
      </c>
      <c r="Q38" s="426" t="s">
        <v>2</v>
      </c>
      <c r="R38" s="427" t="s">
        <v>2</v>
      </c>
      <c r="S38" s="426" t="s">
        <v>2</v>
      </c>
      <c r="T38" s="427" t="s">
        <v>2</v>
      </c>
      <c r="U38" s="426" t="s">
        <v>2</v>
      </c>
      <c r="V38" s="427" t="s">
        <v>2</v>
      </c>
      <c r="W38" s="428" t="s">
        <v>2</v>
      </c>
      <c r="X38" s="58"/>
      <c r="Y38" s="58"/>
      <c r="Z38" s="58"/>
      <c r="AA38" s="58"/>
      <c r="AB38" s="58"/>
    </row>
    <row r="39" spans="1:28" s="17" customFormat="1" ht="15" customHeight="1">
      <c r="A39" s="443" t="str">
        <f>'I-2'!A37</f>
        <v>2023.10</v>
      </c>
      <c r="B39" s="161">
        <v>965400</v>
      </c>
      <c r="C39" s="160">
        <v>778042</v>
      </c>
      <c r="D39" s="183">
        <v>9798093</v>
      </c>
      <c r="E39" s="160">
        <v>87552</v>
      </c>
      <c r="F39" s="183">
        <v>12162</v>
      </c>
      <c r="G39" s="160">
        <v>11641248</v>
      </c>
      <c r="H39" s="183">
        <v>46005</v>
      </c>
      <c r="I39" s="160">
        <v>138683</v>
      </c>
      <c r="J39" s="183">
        <v>127230</v>
      </c>
      <c r="K39" s="160">
        <v>582621</v>
      </c>
      <c r="L39" s="183">
        <v>6560</v>
      </c>
      <c r="M39" s="160">
        <v>52447909</v>
      </c>
      <c r="N39" s="183">
        <v>51718</v>
      </c>
      <c r="O39" s="160">
        <v>628214</v>
      </c>
      <c r="P39" s="183">
        <v>2757312</v>
      </c>
      <c r="Q39" s="160">
        <v>4214978</v>
      </c>
      <c r="R39" s="183">
        <v>1549557</v>
      </c>
      <c r="S39" s="160">
        <v>62238869</v>
      </c>
      <c r="T39" s="183">
        <v>10629328</v>
      </c>
      <c r="U39" s="160">
        <v>961180</v>
      </c>
      <c r="V39" s="183">
        <v>235428</v>
      </c>
      <c r="W39" s="267">
        <v>11825937</v>
      </c>
      <c r="X39" s="58"/>
      <c r="Y39" s="58"/>
      <c r="Z39" s="58"/>
      <c r="AA39" s="58"/>
      <c r="AB39" s="58"/>
    </row>
    <row r="40" spans="1:28" s="17" customFormat="1" ht="15" customHeight="1">
      <c r="A40" s="443" t="str">
        <f>'I-2'!A38</f>
        <v>2023.9</v>
      </c>
      <c r="B40" s="161">
        <v>869547</v>
      </c>
      <c r="C40" s="160">
        <v>730697</v>
      </c>
      <c r="D40" s="183">
        <v>8991565</v>
      </c>
      <c r="E40" s="160">
        <v>79900</v>
      </c>
      <c r="F40" s="183">
        <v>12057</v>
      </c>
      <c r="G40" s="160">
        <v>10683766</v>
      </c>
      <c r="H40" s="183">
        <v>41636</v>
      </c>
      <c r="I40" s="160">
        <v>127227</v>
      </c>
      <c r="J40" s="183">
        <v>116634</v>
      </c>
      <c r="K40" s="160">
        <v>522289</v>
      </c>
      <c r="L40" s="183">
        <v>5941</v>
      </c>
      <c r="M40" s="160">
        <v>47154269</v>
      </c>
      <c r="N40" s="183">
        <v>47258</v>
      </c>
      <c r="O40" s="160">
        <v>559180</v>
      </c>
      <c r="P40" s="183">
        <v>2467251</v>
      </c>
      <c r="Q40" s="160">
        <v>3888555</v>
      </c>
      <c r="R40" s="183">
        <v>1388719</v>
      </c>
      <c r="S40" s="160">
        <v>56033463</v>
      </c>
      <c r="T40" s="183">
        <v>9741815</v>
      </c>
      <c r="U40" s="160">
        <v>886493</v>
      </c>
      <c r="V40" s="183">
        <v>224321</v>
      </c>
      <c r="W40" s="267">
        <v>10852629</v>
      </c>
      <c r="X40" s="58"/>
      <c r="Y40" s="58"/>
      <c r="Z40" s="58"/>
      <c r="AA40" s="58"/>
      <c r="AB40" s="58"/>
    </row>
    <row r="41" spans="1:28" s="17" customFormat="1" ht="15" customHeight="1">
      <c r="A41" s="443" t="str">
        <f>'I-2'!A39</f>
        <v>2023.8</v>
      </c>
      <c r="B41" s="161">
        <v>751252</v>
      </c>
      <c r="C41" s="160">
        <v>649446</v>
      </c>
      <c r="D41" s="183">
        <v>8092534</v>
      </c>
      <c r="E41" s="160">
        <v>74651</v>
      </c>
      <c r="F41" s="183">
        <v>11967</v>
      </c>
      <c r="G41" s="160">
        <v>9579850</v>
      </c>
      <c r="H41" s="183">
        <v>37482</v>
      </c>
      <c r="I41" s="160">
        <v>121396</v>
      </c>
      <c r="J41" s="183">
        <v>111661</v>
      </c>
      <c r="K41" s="160">
        <v>471295</v>
      </c>
      <c r="L41" s="183">
        <v>5291</v>
      </c>
      <c r="M41" s="160">
        <v>41848419</v>
      </c>
      <c r="N41" s="183">
        <v>43420</v>
      </c>
      <c r="O41" s="160">
        <v>500207</v>
      </c>
      <c r="P41" s="183">
        <v>2181514</v>
      </c>
      <c r="Q41" s="160">
        <v>3550600</v>
      </c>
      <c r="R41" s="183">
        <v>1232297</v>
      </c>
      <c r="S41" s="160">
        <v>49833043</v>
      </c>
      <c r="T41" s="183">
        <v>8713454</v>
      </c>
      <c r="U41" s="160">
        <v>811370</v>
      </c>
      <c r="V41" s="183">
        <v>213903</v>
      </c>
      <c r="W41" s="267">
        <v>9738727</v>
      </c>
      <c r="X41" s="58"/>
      <c r="Y41" s="58"/>
      <c r="Z41" s="58"/>
      <c r="AA41" s="58"/>
      <c r="AB41" s="58"/>
    </row>
    <row r="42" spans="1:28" ht="15" customHeight="1" thickBot="1">
      <c r="A42" s="311"/>
      <c r="B42" s="312"/>
      <c r="C42" s="170"/>
      <c r="D42" s="186"/>
      <c r="E42" s="170"/>
      <c r="F42" s="186"/>
      <c r="G42" s="170"/>
      <c r="H42" s="186"/>
      <c r="I42" s="170"/>
      <c r="J42" s="186"/>
      <c r="K42" s="170"/>
      <c r="L42" s="186"/>
      <c r="M42" s="170"/>
      <c r="N42" s="186"/>
      <c r="O42" s="170"/>
      <c r="P42" s="186"/>
      <c r="Q42" s="170"/>
      <c r="R42" s="186"/>
      <c r="S42" s="170"/>
      <c r="T42" s="186"/>
      <c r="U42" s="170"/>
      <c r="V42" s="186"/>
      <c r="W42" s="312"/>
      <c r="X42" s="58"/>
      <c r="Y42" s="58"/>
      <c r="Z42" s="58"/>
      <c r="AA42" s="58"/>
      <c r="AB42" s="58"/>
    </row>
    <row r="43" spans="1:28" ht="15" customHeight="1">
      <c r="A43" s="176" t="s">
        <v>283</v>
      </c>
      <c r="B43" s="15"/>
      <c r="C43" s="15"/>
      <c r="D43" s="15"/>
      <c r="E43" s="15"/>
      <c r="F43" s="15"/>
      <c r="G43" s="15"/>
      <c r="H43" s="15"/>
      <c r="I43" s="15"/>
      <c r="J43" s="18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8" ht="15" customHeight="1">
      <c r="A44" s="176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8" ht="15" customHeight="1"/>
  </sheetData>
  <mergeCells count="26">
    <mergeCell ref="H8:H12"/>
    <mergeCell ref="J9:J12"/>
    <mergeCell ref="I8:I12"/>
    <mergeCell ref="D9:D12"/>
    <mergeCell ref="B9:B12"/>
    <mergeCell ref="C9:C12"/>
    <mergeCell ref="E9:E12"/>
    <mergeCell ref="F9:F12"/>
    <mergeCell ref="G9:G12"/>
    <mergeCell ref="B8:G8"/>
    <mergeCell ref="P8:P12"/>
    <mergeCell ref="B7:J7"/>
    <mergeCell ref="K7:S7"/>
    <mergeCell ref="T7:W7"/>
    <mergeCell ref="W8:W12"/>
    <mergeCell ref="Q8:Q12"/>
    <mergeCell ref="R8:R12"/>
    <mergeCell ref="S8:S12"/>
    <mergeCell ref="T8:T12"/>
    <mergeCell ref="U8:U12"/>
    <mergeCell ref="V8:V12"/>
    <mergeCell ref="K8:K12"/>
    <mergeCell ref="L8:L12"/>
    <mergeCell ref="M8:M12"/>
    <mergeCell ref="N8:N12"/>
    <mergeCell ref="O8:O12"/>
  </mergeCells>
  <phoneticPr fontId="2" type="noConversion"/>
  <pageMargins left="0.42" right="0.28999999999999998" top="0.7" bottom="0.54" header="0.5" footer="0.31"/>
  <pageSetup paperSize="9" scale="50" orientation="landscape" r:id="rId1"/>
  <headerFooter alignWithMargins="0"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4"/>
  <sheetViews>
    <sheetView zoomScaleNormal="100" zoomScaleSheetLayoutView="90" workbookViewId="0">
      <pane xSplit="1" ySplit="9" topLeftCell="B22" activePane="bottomRight" state="frozen"/>
      <selection activeCell="P22" sqref="P22"/>
      <selection pane="topRight" activeCell="P22" sqref="P22"/>
      <selection pane="bottomLeft" activeCell="P22" sqref="P22"/>
      <selection pane="bottomRight" activeCell="B11" sqref="B11:P38"/>
    </sheetView>
  </sheetViews>
  <sheetFormatPr defaultColWidth="8.77734375" defaultRowHeight="12.95" customHeight="1"/>
  <cols>
    <col min="1" max="1" width="14.77734375" style="32" customWidth="1"/>
    <col min="2" max="16" width="11.77734375" style="17" customWidth="1"/>
    <col min="17" max="17" width="4" style="32" bestFit="1" customWidth="1"/>
    <col min="18" max="19" width="2.5546875" style="32" bestFit="1" customWidth="1"/>
    <col min="20" max="20" width="8" style="32" bestFit="1" customWidth="1"/>
    <col min="21" max="16384" width="8.77734375" style="32"/>
  </cols>
  <sheetData>
    <row r="1" spans="1:23" ht="15" customHeight="1"/>
    <row r="2" spans="1:23" ht="15" customHeight="1">
      <c r="A2" s="1" t="s">
        <v>129</v>
      </c>
    </row>
    <row r="3" spans="1:23" s="39" customFormat="1" ht="15" customHeight="1">
      <c r="A3" s="45" t="s">
        <v>169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spans="1:23" ht="15" customHeight="1">
      <c r="A4" s="60"/>
    </row>
    <row r="5" spans="1:23" ht="15" customHeight="1">
      <c r="A5" s="60"/>
    </row>
    <row r="6" spans="1:23" ht="15" customHeight="1" thickBot="1">
      <c r="A6" s="177" t="str">
        <f>'III-2'!A6</f>
        <v>2023. 1. 1. - 2023. 11. 30.</v>
      </c>
      <c r="B6" s="317"/>
      <c r="C6" s="317"/>
      <c r="D6" s="317"/>
      <c r="E6" s="317"/>
      <c r="F6" s="317"/>
      <c r="G6" s="318"/>
      <c r="H6" s="318"/>
      <c r="I6" s="318"/>
      <c r="J6" s="317"/>
      <c r="K6" s="317"/>
      <c r="L6" s="317"/>
      <c r="M6" s="317"/>
      <c r="N6" s="317"/>
      <c r="O6" s="317"/>
      <c r="P6" s="319" t="s">
        <v>81</v>
      </c>
      <c r="U6" s="43"/>
      <c r="V6" s="43"/>
    </row>
    <row r="7" spans="1:23" s="93" customFormat="1" ht="15" customHeight="1">
      <c r="A7" s="320"/>
      <c r="B7" s="321" t="s">
        <v>162</v>
      </c>
      <c r="C7" s="322"/>
      <c r="D7" s="322"/>
      <c r="E7" s="322"/>
      <c r="F7" s="322"/>
      <c r="G7" s="632" t="s">
        <v>170</v>
      </c>
      <c r="H7" s="633"/>
      <c r="I7" s="633"/>
      <c r="J7" s="633"/>
      <c r="K7" s="633"/>
      <c r="L7" s="633"/>
      <c r="M7" s="633"/>
      <c r="N7" s="634"/>
      <c r="O7" s="627" t="s">
        <v>168</v>
      </c>
      <c r="P7" s="629" t="s">
        <v>30</v>
      </c>
      <c r="U7" s="94"/>
      <c r="V7" s="94"/>
    </row>
    <row r="8" spans="1:23" s="93" customFormat="1" ht="15" customHeight="1">
      <c r="A8" s="323"/>
      <c r="B8" s="625" t="s">
        <v>158</v>
      </c>
      <c r="C8" s="625" t="s">
        <v>159</v>
      </c>
      <c r="D8" s="625" t="s">
        <v>160</v>
      </c>
      <c r="E8" s="625" t="s">
        <v>161</v>
      </c>
      <c r="F8" s="625" t="s">
        <v>33</v>
      </c>
      <c r="G8" s="625" t="s">
        <v>163</v>
      </c>
      <c r="H8" s="625" t="s">
        <v>164</v>
      </c>
      <c r="I8" s="625" t="s">
        <v>165</v>
      </c>
      <c r="J8" s="625" t="s">
        <v>166</v>
      </c>
      <c r="K8" s="625" t="s">
        <v>159</v>
      </c>
      <c r="L8" s="625" t="s">
        <v>167</v>
      </c>
      <c r="M8" s="625" t="s">
        <v>88</v>
      </c>
      <c r="N8" s="625" t="s">
        <v>33</v>
      </c>
      <c r="O8" s="628"/>
      <c r="P8" s="630"/>
      <c r="U8" s="94"/>
      <c r="V8" s="94"/>
    </row>
    <row r="9" spans="1:23" s="93" customFormat="1" ht="15" customHeight="1">
      <c r="A9" s="323"/>
      <c r="B9" s="626"/>
      <c r="C9" s="626"/>
      <c r="D9" s="626"/>
      <c r="E9" s="626"/>
      <c r="F9" s="626"/>
      <c r="G9" s="626"/>
      <c r="H9" s="626"/>
      <c r="I9" s="626"/>
      <c r="J9" s="626"/>
      <c r="K9" s="626"/>
      <c r="L9" s="626"/>
      <c r="M9" s="626"/>
      <c r="N9" s="626"/>
      <c r="O9" s="626"/>
      <c r="P9" s="631"/>
      <c r="U9" s="94"/>
      <c r="V9" s="94"/>
    </row>
    <row r="10" spans="1:23" ht="15" customHeight="1">
      <c r="A10" s="264"/>
      <c r="B10" s="324"/>
      <c r="C10" s="325"/>
      <c r="D10" s="326"/>
      <c r="E10" s="325"/>
      <c r="F10" s="326"/>
      <c r="G10" s="325"/>
      <c r="H10" s="326"/>
      <c r="I10" s="325"/>
      <c r="J10" s="326"/>
      <c r="K10" s="325"/>
      <c r="L10" s="326"/>
      <c r="M10" s="325"/>
      <c r="N10" s="326"/>
      <c r="O10" s="325"/>
      <c r="P10" s="324"/>
      <c r="U10" s="95"/>
      <c r="V10" s="43"/>
    </row>
    <row r="11" spans="1:23" ht="15" customHeight="1">
      <c r="A11" s="289" t="s">
        <v>3</v>
      </c>
      <c r="B11" s="161">
        <v>360552</v>
      </c>
      <c r="C11" s="159">
        <v>7107</v>
      </c>
      <c r="D11" s="161">
        <v>2375343</v>
      </c>
      <c r="E11" s="159">
        <v>0</v>
      </c>
      <c r="F11" s="161">
        <v>2743002</v>
      </c>
      <c r="G11" s="159">
        <v>4889303</v>
      </c>
      <c r="H11" s="161">
        <v>221317</v>
      </c>
      <c r="I11" s="159">
        <v>29626</v>
      </c>
      <c r="J11" s="161">
        <v>1792610</v>
      </c>
      <c r="K11" s="159">
        <v>47581</v>
      </c>
      <c r="L11" s="161">
        <v>1510591</v>
      </c>
      <c r="M11" s="159">
        <v>2840</v>
      </c>
      <c r="N11" s="161">
        <v>8493869</v>
      </c>
      <c r="O11" s="159">
        <v>38127</v>
      </c>
      <c r="P11" s="235">
        <v>11274998</v>
      </c>
      <c r="Q11" s="96"/>
      <c r="R11" s="14"/>
      <c r="S11" s="14"/>
      <c r="T11" s="14"/>
      <c r="U11" s="95"/>
      <c r="V11" s="43"/>
      <c r="W11" s="14"/>
    </row>
    <row r="12" spans="1:23" ht="15" customHeight="1">
      <c r="A12" s="289" t="s">
        <v>4</v>
      </c>
      <c r="B12" s="161">
        <v>64310</v>
      </c>
      <c r="C12" s="159">
        <v>2714</v>
      </c>
      <c r="D12" s="161">
        <v>455011</v>
      </c>
      <c r="E12" s="159">
        <v>0</v>
      </c>
      <c r="F12" s="161">
        <v>522036</v>
      </c>
      <c r="G12" s="159">
        <v>1171545</v>
      </c>
      <c r="H12" s="161">
        <v>47053</v>
      </c>
      <c r="I12" s="159">
        <v>2616</v>
      </c>
      <c r="J12" s="161">
        <v>257614</v>
      </c>
      <c r="K12" s="159">
        <v>6146</v>
      </c>
      <c r="L12" s="161">
        <v>397294</v>
      </c>
      <c r="M12" s="159">
        <v>14805</v>
      </c>
      <c r="N12" s="161">
        <v>1897072</v>
      </c>
      <c r="O12" s="159">
        <v>1509</v>
      </c>
      <c r="P12" s="235">
        <v>2420617</v>
      </c>
      <c r="Q12" s="96"/>
      <c r="R12" s="14"/>
      <c r="S12" s="14"/>
      <c r="T12" s="14"/>
      <c r="U12" s="95"/>
      <c r="V12" s="43"/>
      <c r="W12" s="14"/>
    </row>
    <row r="13" spans="1:23" ht="15" customHeight="1">
      <c r="A13" s="289" t="s">
        <v>5</v>
      </c>
      <c r="B13" s="161">
        <v>965977</v>
      </c>
      <c r="C13" s="159">
        <v>41992</v>
      </c>
      <c r="D13" s="161">
        <v>3392447</v>
      </c>
      <c r="E13" s="159">
        <v>0</v>
      </c>
      <c r="F13" s="161">
        <v>4400416</v>
      </c>
      <c r="G13" s="159">
        <v>9382665</v>
      </c>
      <c r="H13" s="161">
        <v>226699</v>
      </c>
      <c r="I13" s="159">
        <v>94412</v>
      </c>
      <c r="J13" s="161">
        <v>2804009</v>
      </c>
      <c r="K13" s="159">
        <v>58041</v>
      </c>
      <c r="L13" s="161">
        <v>4592733</v>
      </c>
      <c r="M13" s="159">
        <v>23905</v>
      </c>
      <c r="N13" s="161">
        <v>17182462</v>
      </c>
      <c r="O13" s="159">
        <v>49188</v>
      </c>
      <c r="P13" s="235">
        <v>21632067</v>
      </c>
      <c r="Q13" s="96"/>
      <c r="R13" s="14"/>
      <c r="S13" s="14"/>
      <c r="T13" s="16"/>
      <c r="U13" s="95"/>
      <c r="V13" s="43"/>
      <c r="W13" s="14"/>
    </row>
    <row r="14" spans="1:23" ht="15" customHeight="1">
      <c r="A14" s="289" t="s">
        <v>6</v>
      </c>
      <c r="B14" s="161">
        <v>71246</v>
      </c>
      <c r="C14" s="159">
        <v>536</v>
      </c>
      <c r="D14" s="161">
        <v>658615</v>
      </c>
      <c r="E14" s="159">
        <v>0</v>
      </c>
      <c r="F14" s="161">
        <v>730397</v>
      </c>
      <c r="G14" s="159">
        <v>1474824</v>
      </c>
      <c r="H14" s="161">
        <v>42990</v>
      </c>
      <c r="I14" s="159">
        <v>8777</v>
      </c>
      <c r="J14" s="161">
        <v>305859</v>
      </c>
      <c r="K14" s="159">
        <v>1214</v>
      </c>
      <c r="L14" s="161">
        <v>920615</v>
      </c>
      <c r="M14" s="159">
        <v>539</v>
      </c>
      <c r="N14" s="161">
        <v>2754817</v>
      </c>
      <c r="O14" s="159">
        <v>10088</v>
      </c>
      <c r="P14" s="235">
        <v>3495302</v>
      </c>
      <c r="Q14" s="96"/>
      <c r="R14" s="14"/>
      <c r="S14" s="14"/>
      <c r="T14" s="14"/>
      <c r="U14" s="95"/>
      <c r="V14" s="43"/>
      <c r="W14" s="14"/>
    </row>
    <row r="15" spans="1:23" ht="15" customHeight="1">
      <c r="A15" s="289" t="s">
        <v>7</v>
      </c>
      <c r="B15" s="161">
        <v>299605</v>
      </c>
      <c r="C15" s="159">
        <v>4255</v>
      </c>
      <c r="D15" s="161">
        <v>1230041</v>
      </c>
      <c r="E15" s="159">
        <v>0</v>
      </c>
      <c r="F15" s="161">
        <v>1533901</v>
      </c>
      <c r="G15" s="159">
        <v>4697396</v>
      </c>
      <c r="H15" s="161">
        <v>180043</v>
      </c>
      <c r="I15" s="159">
        <v>31123</v>
      </c>
      <c r="J15" s="161">
        <v>1315481</v>
      </c>
      <c r="K15" s="159">
        <v>37910</v>
      </c>
      <c r="L15" s="161">
        <v>1919103</v>
      </c>
      <c r="M15" s="159">
        <v>6013</v>
      </c>
      <c r="N15" s="161">
        <v>8187069</v>
      </c>
      <c r="O15" s="159">
        <v>14493</v>
      </c>
      <c r="P15" s="235">
        <v>9735462</v>
      </c>
      <c r="Q15" s="96"/>
      <c r="R15" s="14"/>
      <c r="S15" s="14"/>
      <c r="T15" s="14"/>
      <c r="U15" s="95"/>
      <c r="V15" s="43"/>
      <c r="W15" s="14"/>
    </row>
    <row r="16" spans="1:23" ht="15" customHeight="1">
      <c r="A16" s="289" t="s">
        <v>8</v>
      </c>
      <c r="B16" s="161">
        <v>9821</v>
      </c>
      <c r="C16" s="159">
        <v>817</v>
      </c>
      <c r="D16" s="161">
        <v>83691</v>
      </c>
      <c r="E16" s="159">
        <v>0</v>
      </c>
      <c r="F16" s="161">
        <v>94329</v>
      </c>
      <c r="G16" s="159">
        <v>438716</v>
      </c>
      <c r="H16" s="161">
        <v>19226</v>
      </c>
      <c r="I16" s="159">
        <v>0</v>
      </c>
      <c r="J16" s="161">
        <v>62415</v>
      </c>
      <c r="K16" s="159">
        <v>1009</v>
      </c>
      <c r="L16" s="161">
        <v>117260</v>
      </c>
      <c r="M16" s="159">
        <v>5676</v>
      </c>
      <c r="N16" s="161">
        <v>644302</v>
      </c>
      <c r="O16" s="159">
        <v>0</v>
      </c>
      <c r="P16" s="235">
        <v>738631</v>
      </c>
      <c r="Q16" s="96"/>
      <c r="R16" s="14"/>
      <c r="S16" s="14"/>
      <c r="T16" s="14"/>
      <c r="U16" s="95"/>
      <c r="V16" s="43"/>
      <c r="W16" s="14"/>
    </row>
    <row r="17" spans="1:23" ht="15" customHeight="1">
      <c r="A17" s="289" t="s">
        <v>9</v>
      </c>
      <c r="B17" s="161">
        <v>56471</v>
      </c>
      <c r="C17" s="159">
        <v>2570</v>
      </c>
      <c r="D17" s="161">
        <v>283101</v>
      </c>
      <c r="E17" s="159">
        <v>0</v>
      </c>
      <c r="F17" s="161">
        <v>342141</v>
      </c>
      <c r="G17" s="159">
        <v>775067</v>
      </c>
      <c r="H17" s="161">
        <v>37119</v>
      </c>
      <c r="I17" s="159">
        <v>130</v>
      </c>
      <c r="J17" s="161">
        <v>318544</v>
      </c>
      <c r="K17" s="159">
        <v>5516</v>
      </c>
      <c r="L17" s="161">
        <v>443512</v>
      </c>
      <c r="M17" s="159">
        <v>37573</v>
      </c>
      <c r="N17" s="161">
        <v>1617461</v>
      </c>
      <c r="O17" s="159">
        <v>1638</v>
      </c>
      <c r="P17" s="235">
        <v>1961240</v>
      </c>
      <c r="Q17" s="96"/>
      <c r="R17" s="14"/>
      <c r="S17" s="14"/>
      <c r="T17" s="14"/>
      <c r="U17" s="95"/>
      <c r="V17" s="43"/>
      <c r="W17" s="14"/>
    </row>
    <row r="18" spans="1:23" ht="15" customHeight="1">
      <c r="A18" s="289" t="s">
        <v>10</v>
      </c>
      <c r="B18" s="161">
        <v>56382</v>
      </c>
      <c r="C18" s="159">
        <v>754</v>
      </c>
      <c r="D18" s="161">
        <v>354963</v>
      </c>
      <c r="E18" s="159">
        <v>0</v>
      </c>
      <c r="F18" s="161">
        <v>412098</v>
      </c>
      <c r="G18" s="159">
        <v>1278948</v>
      </c>
      <c r="H18" s="161">
        <v>38238</v>
      </c>
      <c r="I18" s="159">
        <v>8030</v>
      </c>
      <c r="J18" s="161">
        <v>167637</v>
      </c>
      <c r="K18" s="159">
        <v>2990</v>
      </c>
      <c r="L18" s="161">
        <v>163770</v>
      </c>
      <c r="M18" s="159">
        <v>163296</v>
      </c>
      <c r="N18" s="161">
        <v>1822909</v>
      </c>
      <c r="O18" s="159">
        <v>2202</v>
      </c>
      <c r="P18" s="235">
        <v>2237210</v>
      </c>
      <c r="Q18" s="96"/>
      <c r="R18" s="14"/>
      <c r="S18" s="14"/>
      <c r="T18" s="14"/>
      <c r="U18" s="95"/>
      <c r="V18" s="43"/>
      <c r="W18" s="14"/>
    </row>
    <row r="19" spans="1:23" ht="15" customHeight="1">
      <c r="A19" s="289" t="s">
        <v>11</v>
      </c>
      <c r="B19" s="161">
        <v>33499</v>
      </c>
      <c r="C19" s="159">
        <v>384</v>
      </c>
      <c r="D19" s="161">
        <v>158516</v>
      </c>
      <c r="E19" s="159">
        <v>0</v>
      </c>
      <c r="F19" s="161">
        <v>192399</v>
      </c>
      <c r="G19" s="159">
        <v>477833</v>
      </c>
      <c r="H19" s="161">
        <v>25004</v>
      </c>
      <c r="I19" s="159">
        <v>7253</v>
      </c>
      <c r="J19" s="161">
        <v>183456</v>
      </c>
      <c r="K19" s="159">
        <v>3139</v>
      </c>
      <c r="L19" s="161">
        <v>31585</v>
      </c>
      <c r="M19" s="159">
        <v>88063</v>
      </c>
      <c r="N19" s="161">
        <v>816333</v>
      </c>
      <c r="O19" s="159">
        <v>1647</v>
      </c>
      <c r="P19" s="235">
        <v>1010379</v>
      </c>
      <c r="Q19" s="96"/>
      <c r="R19" s="14"/>
      <c r="S19" s="14"/>
      <c r="T19" s="14"/>
      <c r="U19" s="95"/>
      <c r="V19" s="43"/>
      <c r="W19" s="14"/>
    </row>
    <row r="20" spans="1:23" ht="15" customHeight="1">
      <c r="A20" s="289" t="s">
        <v>12</v>
      </c>
      <c r="B20" s="161">
        <v>66069</v>
      </c>
      <c r="C20" s="159">
        <v>3373</v>
      </c>
      <c r="D20" s="161">
        <v>1517524</v>
      </c>
      <c r="E20" s="159">
        <v>0</v>
      </c>
      <c r="F20" s="161">
        <v>1586967</v>
      </c>
      <c r="G20" s="159">
        <v>2023641</v>
      </c>
      <c r="H20" s="161">
        <v>79314</v>
      </c>
      <c r="I20" s="159">
        <v>82</v>
      </c>
      <c r="J20" s="161">
        <v>378813</v>
      </c>
      <c r="K20" s="159">
        <v>5817</v>
      </c>
      <c r="L20" s="161">
        <v>674236</v>
      </c>
      <c r="M20" s="159">
        <v>19725</v>
      </c>
      <c r="N20" s="161">
        <v>3181628</v>
      </c>
      <c r="O20" s="159">
        <v>1373</v>
      </c>
      <c r="P20" s="235">
        <v>4769967</v>
      </c>
      <c r="Q20" s="96"/>
      <c r="R20" s="14"/>
      <c r="S20" s="14"/>
      <c r="T20" s="14"/>
      <c r="U20" s="95"/>
      <c r="V20" s="43"/>
      <c r="W20" s="14"/>
    </row>
    <row r="21" spans="1:23" ht="15" customHeight="1">
      <c r="A21" s="289" t="s">
        <v>13</v>
      </c>
      <c r="B21" s="327">
        <v>62265</v>
      </c>
      <c r="C21" s="232">
        <v>2672</v>
      </c>
      <c r="D21" s="327">
        <v>101550</v>
      </c>
      <c r="E21" s="232">
        <v>0</v>
      </c>
      <c r="F21" s="327">
        <v>166487</v>
      </c>
      <c r="G21" s="232">
        <v>1193884</v>
      </c>
      <c r="H21" s="327">
        <v>64263</v>
      </c>
      <c r="I21" s="232">
        <v>2723</v>
      </c>
      <c r="J21" s="327">
        <v>172993</v>
      </c>
      <c r="K21" s="232">
        <v>7423</v>
      </c>
      <c r="L21" s="327">
        <v>630923</v>
      </c>
      <c r="M21" s="232">
        <v>13480</v>
      </c>
      <c r="N21" s="327">
        <v>2085688</v>
      </c>
      <c r="O21" s="232">
        <v>457</v>
      </c>
      <c r="P21" s="328">
        <v>2252631</v>
      </c>
      <c r="Q21" s="96"/>
      <c r="R21" s="14"/>
      <c r="S21" s="14"/>
      <c r="T21" s="14"/>
      <c r="U21" s="95"/>
      <c r="V21" s="43"/>
      <c r="W21" s="14"/>
    </row>
    <row r="22" spans="1:23" ht="15" customHeight="1">
      <c r="A22" s="289" t="s">
        <v>36</v>
      </c>
      <c r="B22" s="327">
        <v>77703</v>
      </c>
      <c r="C22" s="232">
        <v>69</v>
      </c>
      <c r="D22" s="327">
        <v>136286</v>
      </c>
      <c r="E22" s="232">
        <v>0</v>
      </c>
      <c r="F22" s="327">
        <v>214059</v>
      </c>
      <c r="G22" s="232">
        <v>1778500</v>
      </c>
      <c r="H22" s="327">
        <v>91622</v>
      </c>
      <c r="I22" s="232">
        <v>3963</v>
      </c>
      <c r="J22" s="327">
        <v>135440</v>
      </c>
      <c r="K22" s="232">
        <v>4307</v>
      </c>
      <c r="L22" s="327">
        <v>394993</v>
      </c>
      <c r="M22" s="232">
        <v>133158</v>
      </c>
      <c r="N22" s="327">
        <v>2541981</v>
      </c>
      <c r="O22" s="232">
        <v>3801</v>
      </c>
      <c r="P22" s="328">
        <v>2759840</v>
      </c>
      <c r="Q22" s="96"/>
      <c r="R22" s="14"/>
      <c r="S22" s="14"/>
      <c r="T22" s="14"/>
      <c r="U22" s="95"/>
      <c r="V22" s="43"/>
      <c r="W22" s="14"/>
    </row>
    <row r="23" spans="1:23" ht="15" customHeight="1">
      <c r="A23" s="296" t="s">
        <v>37</v>
      </c>
      <c r="B23" s="327">
        <v>287873</v>
      </c>
      <c r="C23" s="232">
        <v>3415</v>
      </c>
      <c r="D23" s="327">
        <v>663970</v>
      </c>
      <c r="E23" s="232">
        <v>0</v>
      </c>
      <c r="F23" s="327">
        <v>955259</v>
      </c>
      <c r="G23" s="232">
        <v>3203567</v>
      </c>
      <c r="H23" s="327">
        <v>223772</v>
      </c>
      <c r="I23" s="232">
        <v>11225</v>
      </c>
      <c r="J23" s="327">
        <v>785113</v>
      </c>
      <c r="K23" s="232">
        <v>22655</v>
      </c>
      <c r="L23" s="327">
        <v>914822</v>
      </c>
      <c r="M23" s="232">
        <v>5119</v>
      </c>
      <c r="N23" s="327">
        <v>5166273</v>
      </c>
      <c r="O23" s="232">
        <v>8838</v>
      </c>
      <c r="P23" s="328">
        <v>6130370</v>
      </c>
      <c r="Q23" s="96"/>
      <c r="R23" s="14"/>
      <c r="S23" s="14"/>
      <c r="T23" s="14"/>
      <c r="U23" s="95"/>
      <c r="V23" s="43"/>
      <c r="W23" s="14"/>
    </row>
    <row r="24" spans="1:23" ht="15" customHeight="1">
      <c r="A24" s="289" t="s">
        <v>14</v>
      </c>
      <c r="B24" s="327">
        <v>7137</v>
      </c>
      <c r="C24" s="232">
        <v>0</v>
      </c>
      <c r="D24" s="327">
        <v>10299</v>
      </c>
      <c r="E24" s="232">
        <v>0</v>
      </c>
      <c r="F24" s="327">
        <v>17436</v>
      </c>
      <c r="G24" s="232">
        <v>87659</v>
      </c>
      <c r="H24" s="327">
        <v>8683</v>
      </c>
      <c r="I24" s="232">
        <v>46</v>
      </c>
      <c r="J24" s="327">
        <v>18001</v>
      </c>
      <c r="K24" s="232">
        <v>447</v>
      </c>
      <c r="L24" s="327">
        <v>5936</v>
      </c>
      <c r="M24" s="232">
        <v>16511</v>
      </c>
      <c r="N24" s="327">
        <v>137284</v>
      </c>
      <c r="O24" s="232">
        <v>7</v>
      </c>
      <c r="P24" s="328">
        <v>154727</v>
      </c>
      <c r="Q24" s="96"/>
      <c r="R24" s="14"/>
      <c r="S24" s="14"/>
      <c r="T24" s="14"/>
      <c r="U24" s="95"/>
      <c r="V24" s="43"/>
      <c r="W24" s="14"/>
    </row>
    <row r="25" spans="1:23" ht="15" customHeight="1">
      <c r="A25" s="289" t="s">
        <v>15</v>
      </c>
      <c r="B25" s="327">
        <v>2218</v>
      </c>
      <c r="C25" s="232">
        <v>0</v>
      </c>
      <c r="D25" s="327">
        <v>219369</v>
      </c>
      <c r="E25" s="232">
        <v>0</v>
      </c>
      <c r="F25" s="327">
        <v>221587</v>
      </c>
      <c r="G25" s="232">
        <v>566006</v>
      </c>
      <c r="H25" s="327">
        <v>8298</v>
      </c>
      <c r="I25" s="232">
        <v>100</v>
      </c>
      <c r="J25" s="327">
        <v>15831</v>
      </c>
      <c r="K25" s="232">
        <v>628</v>
      </c>
      <c r="L25" s="327">
        <v>111703</v>
      </c>
      <c r="M25" s="232">
        <v>5561</v>
      </c>
      <c r="N25" s="327">
        <v>708126</v>
      </c>
      <c r="O25" s="232">
        <v>0</v>
      </c>
      <c r="P25" s="328">
        <v>929713</v>
      </c>
      <c r="Q25" s="96"/>
      <c r="R25" s="14"/>
      <c r="S25" s="14"/>
      <c r="T25" s="14"/>
      <c r="U25" s="95"/>
      <c r="V25" s="43"/>
      <c r="W25" s="14"/>
    </row>
    <row r="26" spans="1:23" ht="15" customHeight="1">
      <c r="A26" s="289" t="s">
        <v>16</v>
      </c>
      <c r="B26" s="327">
        <v>6481</v>
      </c>
      <c r="C26" s="232">
        <v>0</v>
      </c>
      <c r="D26" s="327">
        <v>135431</v>
      </c>
      <c r="E26" s="232">
        <v>0</v>
      </c>
      <c r="F26" s="327">
        <v>141912</v>
      </c>
      <c r="G26" s="232">
        <v>255930</v>
      </c>
      <c r="H26" s="327">
        <v>5484</v>
      </c>
      <c r="I26" s="232">
        <v>72</v>
      </c>
      <c r="J26" s="327">
        <v>2093</v>
      </c>
      <c r="K26" s="232">
        <v>145</v>
      </c>
      <c r="L26" s="327">
        <v>59209</v>
      </c>
      <c r="M26" s="232">
        <v>944</v>
      </c>
      <c r="N26" s="327">
        <v>323878</v>
      </c>
      <c r="O26" s="232">
        <v>0</v>
      </c>
      <c r="P26" s="328">
        <v>465790</v>
      </c>
      <c r="Q26" s="96"/>
      <c r="R26" s="14"/>
      <c r="S26" s="14"/>
      <c r="T26" s="14"/>
      <c r="U26" s="95"/>
      <c r="V26" s="43"/>
      <c r="W26" s="14"/>
    </row>
    <row r="27" spans="1:23" ht="15" customHeight="1">
      <c r="A27" s="289" t="s">
        <v>17</v>
      </c>
      <c r="B27" s="327">
        <v>18294</v>
      </c>
      <c r="C27" s="232">
        <v>1403</v>
      </c>
      <c r="D27" s="327">
        <v>193625</v>
      </c>
      <c r="E27" s="232">
        <v>0</v>
      </c>
      <c r="F27" s="327">
        <v>213322</v>
      </c>
      <c r="G27" s="232">
        <v>964661</v>
      </c>
      <c r="H27" s="327">
        <v>13460</v>
      </c>
      <c r="I27" s="232">
        <v>0</v>
      </c>
      <c r="J27" s="327">
        <v>58378</v>
      </c>
      <c r="K27" s="232">
        <v>785</v>
      </c>
      <c r="L27" s="327">
        <v>189537</v>
      </c>
      <c r="M27" s="232">
        <v>8170</v>
      </c>
      <c r="N27" s="327">
        <v>1234992</v>
      </c>
      <c r="O27" s="232">
        <v>745</v>
      </c>
      <c r="P27" s="328">
        <v>1449059</v>
      </c>
      <c r="Q27" s="96"/>
      <c r="R27" s="14"/>
      <c r="S27" s="14"/>
      <c r="T27" s="14"/>
      <c r="U27" s="95"/>
      <c r="V27" s="43"/>
      <c r="W27" s="14"/>
    </row>
    <row r="28" spans="1:23" ht="15" customHeight="1">
      <c r="A28" s="289" t="s">
        <v>18</v>
      </c>
      <c r="B28" s="327">
        <v>98952</v>
      </c>
      <c r="C28" s="232">
        <v>1503</v>
      </c>
      <c r="D28" s="327">
        <v>93125</v>
      </c>
      <c r="E28" s="232">
        <v>0</v>
      </c>
      <c r="F28" s="327">
        <v>193580</v>
      </c>
      <c r="G28" s="232">
        <v>250254</v>
      </c>
      <c r="H28" s="327">
        <v>23404</v>
      </c>
      <c r="I28" s="232">
        <v>160</v>
      </c>
      <c r="J28" s="327">
        <v>911351</v>
      </c>
      <c r="K28" s="232">
        <v>10847</v>
      </c>
      <c r="L28" s="327">
        <v>7983</v>
      </c>
      <c r="M28" s="232">
        <v>4481</v>
      </c>
      <c r="N28" s="327">
        <v>1208480</v>
      </c>
      <c r="O28" s="232">
        <v>51</v>
      </c>
      <c r="P28" s="328">
        <v>1402111</v>
      </c>
      <c r="Q28" s="96"/>
      <c r="R28" s="14"/>
      <c r="S28" s="14"/>
      <c r="T28" s="14"/>
      <c r="U28" s="95"/>
      <c r="V28" s="43"/>
      <c r="W28" s="14"/>
    </row>
    <row r="29" spans="1:23" ht="15" customHeight="1">
      <c r="A29" s="289" t="s">
        <v>19</v>
      </c>
      <c r="B29" s="161">
        <v>56865</v>
      </c>
      <c r="C29" s="159">
        <v>470</v>
      </c>
      <c r="D29" s="161">
        <v>35493</v>
      </c>
      <c r="E29" s="159">
        <v>0</v>
      </c>
      <c r="F29" s="161">
        <v>92828</v>
      </c>
      <c r="G29" s="159">
        <v>517166</v>
      </c>
      <c r="H29" s="161">
        <v>32753</v>
      </c>
      <c r="I29" s="159">
        <v>295</v>
      </c>
      <c r="J29" s="161">
        <v>687792</v>
      </c>
      <c r="K29" s="159">
        <v>4397</v>
      </c>
      <c r="L29" s="161">
        <v>79909</v>
      </c>
      <c r="M29" s="159">
        <v>84956</v>
      </c>
      <c r="N29" s="327">
        <v>1407267</v>
      </c>
      <c r="O29" s="159">
        <v>209</v>
      </c>
      <c r="P29" s="235">
        <v>1500303</v>
      </c>
      <c r="Q29" s="96"/>
      <c r="R29" s="14"/>
      <c r="S29" s="14"/>
      <c r="T29" s="14"/>
      <c r="U29" s="95"/>
      <c r="V29" s="43"/>
      <c r="W29" s="14"/>
    </row>
    <row r="30" spans="1:23" ht="15" customHeight="1">
      <c r="A30" s="289" t="s">
        <v>20</v>
      </c>
      <c r="B30" s="161">
        <v>0</v>
      </c>
      <c r="C30" s="159">
        <v>0</v>
      </c>
      <c r="D30" s="161">
        <v>0</v>
      </c>
      <c r="E30" s="159">
        <v>0</v>
      </c>
      <c r="F30" s="161">
        <v>0</v>
      </c>
      <c r="G30" s="159">
        <v>801205</v>
      </c>
      <c r="H30" s="161">
        <v>18762</v>
      </c>
      <c r="I30" s="159">
        <v>7645</v>
      </c>
      <c r="J30" s="161">
        <v>0</v>
      </c>
      <c r="K30" s="159">
        <v>0</v>
      </c>
      <c r="L30" s="161">
        <v>253845</v>
      </c>
      <c r="M30" s="159">
        <v>175</v>
      </c>
      <c r="N30" s="327">
        <v>1081631</v>
      </c>
      <c r="O30" s="159">
        <v>425</v>
      </c>
      <c r="P30" s="235">
        <v>1082056</v>
      </c>
      <c r="Q30" s="96"/>
      <c r="R30" s="14"/>
      <c r="S30" s="14"/>
      <c r="T30" s="14"/>
      <c r="U30" s="95"/>
      <c r="V30" s="43"/>
      <c r="W30" s="14"/>
    </row>
    <row r="31" spans="1:23" ht="15" customHeight="1">
      <c r="A31" s="289" t="s">
        <v>21</v>
      </c>
      <c r="B31" s="161">
        <v>132972</v>
      </c>
      <c r="C31" s="159">
        <v>5528</v>
      </c>
      <c r="D31" s="161">
        <v>2040138</v>
      </c>
      <c r="E31" s="159">
        <v>0</v>
      </c>
      <c r="F31" s="161">
        <v>2178638</v>
      </c>
      <c r="G31" s="159">
        <v>4269663</v>
      </c>
      <c r="H31" s="161">
        <v>73782</v>
      </c>
      <c r="I31" s="159">
        <v>95515</v>
      </c>
      <c r="J31" s="161">
        <v>430450</v>
      </c>
      <c r="K31" s="159">
        <v>21237</v>
      </c>
      <c r="L31" s="161">
        <v>1293125</v>
      </c>
      <c r="M31" s="159">
        <v>23100</v>
      </c>
      <c r="N31" s="327">
        <v>6206872</v>
      </c>
      <c r="O31" s="159">
        <v>25906</v>
      </c>
      <c r="P31" s="235">
        <v>8411416</v>
      </c>
      <c r="Q31" s="96"/>
      <c r="R31" s="14"/>
      <c r="S31" s="14"/>
      <c r="T31" s="14"/>
      <c r="U31" s="95"/>
      <c r="V31" s="43"/>
      <c r="W31" s="14"/>
    </row>
    <row r="32" spans="1:23" ht="15" customHeight="1">
      <c r="A32" s="289" t="s">
        <v>22</v>
      </c>
      <c r="B32" s="161">
        <v>1683</v>
      </c>
      <c r="C32" s="159">
        <v>0</v>
      </c>
      <c r="D32" s="161">
        <v>22099</v>
      </c>
      <c r="E32" s="159">
        <v>0</v>
      </c>
      <c r="F32" s="161">
        <v>23783</v>
      </c>
      <c r="G32" s="159">
        <v>75511</v>
      </c>
      <c r="H32" s="161">
        <v>975</v>
      </c>
      <c r="I32" s="159">
        <v>39</v>
      </c>
      <c r="J32" s="161">
        <v>2614</v>
      </c>
      <c r="K32" s="159">
        <v>13</v>
      </c>
      <c r="L32" s="161">
        <v>4595</v>
      </c>
      <c r="M32" s="159">
        <v>54</v>
      </c>
      <c r="N32" s="327">
        <v>83800</v>
      </c>
      <c r="O32" s="159">
        <v>0</v>
      </c>
      <c r="P32" s="235">
        <v>107582</v>
      </c>
      <c r="Q32" s="96"/>
      <c r="R32" s="14"/>
      <c r="S32" s="14"/>
      <c r="T32" s="14"/>
      <c r="U32" s="95"/>
      <c r="V32" s="43"/>
      <c r="W32" s="14"/>
    </row>
    <row r="33" spans="1:23" ht="15" customHeight="1">
      <c r="A33" s="289"/>
      <c r="B33" s="161" t="s">
        <v>2</v>
      </c>
      <c r="C33" s="159" t="s">
        <v>2</v>
      </c>
      <c r="D33" s="161" t="s">
        <v>2</v>
      </c>
      <c r="E33" s="159" t="s">
        <v>2</v>
      </c>
      <c r="F33" s="161" t="s">
        <v>2</v>
      </c>
      <c r="G33" s="159" t="s">
        <v>2</v>
      </c>
      <c r="H33" s="161" t="s">
        <v>2</v>
      </c>
      <c r="I33" s="159" t="s">
        <v>2</v>
      </c>
      <c r="J33" s="161" t="s">
        <v>2</v>
      </c>
      <c r="K33" s="159" t="s">
        <v>2</v>
      </c>
      <c r="L33" s="161" t="s">
        <v>2</v>
      </c>
      <c r="M33" s="159" t="s">
        <v>2</v>
      </c>
      <c r="N33" s="327" t="s">
        <v>2</v>
      </c>
      <c r="O33" s="159" t="s">
        <v>2</v>
      </c>
      <c r="P33" s="235" t="s">
        <v>2</v>
      </c>
      <c r="Q33" s="96"/>
      <c r="R33" s="14"/>
      <c r="S33" s="14"/>
      <c r="T33" s="14"/>
      <c r="U33" s="95"/>
      <c r="V33" s="43"/>
      <c r="W33" s="14"/>
    </row>
    <row r="34" spans="1:23" ht="15" customHeight="1">
      <c r="A34" s="297" t="s">
        <v>0</v>
      </c>
      <c r="B34" s="414">
        <v>2736376</v>
      </c>
      <c r="C34" s="406">
        <v>79563</v>
      </c>
      <c r="D34" s="414">
        <v>14160636</v>
      </c>
      <c r="E34" s="406">
        <v>0</v>
      </c>
      <c r="F34" s="414">
        <v>16976574</v>
      </c>
      <c r="G34" s="406">
        <v>40573943</v>
      </c>
      <c r="H34" s="414">
        <v>1482262</v>
      </c>
      <c r="I34" s="406">
        <v>303830</v>
      </c>
      <c r="J34" s="414">
        <v>10806493</v>
      </c>
      <c r="K34" s="406">
        <v>242248</v>
      </c>
      <c r="L34" s="414">
        <v>14717277</v>
      </c>
      <c r="M34" s="406">
        <v>658143</v>
      </c>
      <c r="N34" s="429">
        <v>68784196</v>
      </c>
      <c r="O34" s="406">
        <v>160702</v>
      </c>
      <c r="P34" s="413">
        <v>85921473</v>
      </c>
      <c r="Q34" s="96"/>
      <c r="R34" s="14"/>
      <c r="S34" s="14"/>
      <c r="T34" s="14"/>
      <c r="U34" s="43"/>
      <c r="V34" s="43"/>
    </row>
    <row r="35" spans="1:23" ht="15" customHeight="1">
      <c r="A35" s="297"/>
      <c r="B35" s="414" t="s">
        <v>2</v>
      </c>
      <c r="C35" s="406" t="s">
        <v>2</v>
      </c>
      <c r="D35" s="414" t="s">
        <v>2</v>
      </c>
      <c r="E35" s="406" t="s">
        <v>2</v>
      </c>
      <c r="F35" s="414" t="s">
        <v>2</v>
      </c>
      <c r="G35" s="406" t="s">
        <v>2</v>
      </c>
      <c r="H35" s="414" t="s">
        <v>2</v>
      </c>
      <c r="I35" s="406" t="s">
        <v>2</v>
      </c>
      <c r="J35" s="414" t="s">
        <v>2</v>
      </c>
      <c r="K35" s="406" t="s">
        <v>2</v>
      </c>
      <c r="L35" s="414" t="s">
        <v>2</v>
      </c>
      <c r="M35" s="406" t="s">
        <v>2</v>
      </c>
      <c r="N35" s="429" t="s">
        <v>2</v>
      </c>
      <c r="O35" s="406" t="s">
        <v>2</v>
      </c>
      <c r="P35" s="413" t="s">
        <v>2</v>
      </c>
      <c r="Q35" s="96"/>
      <c r="R35" s="14"/>
      <c r="S35" s="14"/>
      <c r="T35" s="14"/>
      <c r="U35" s="43"/>
      <c r="V35" s="43"/>
    </row>
    <row r="36" spans="1:23" ht="15" customHeight="1">
      <c r="A36" s="456" t="str">
        <f>'I-2'!A37</f>
        <v>2023.10</v>
      </c>
      <c r="B36" s="161">
        <v>2475077</v>
      </c>
      <c r="C36" s="159">
        <v>70724</v>
      </c>
      <c r="D36" s="161">
        <v>13154940</v>
      </c>
      <c r="E36" s="159">
        <v>0</v>
      </c>
      <c r="F36" s="161">
        <v>15700742</v>
      </c>
      <c r="G36" s="159">
        <v>37095262</v>
      </c>
      <c r="H36" s="161">
        <v>1340433</v>
      </c>
      <c r="I36" s="159">
        <v>278753</v>
      </c>
      <c r="J36" s="161">
        <v>9769817</v>
      </c>
      <c r="K36" s="159">
        <v>219232</v>
      </c>
      <c r="L36" s="161">
        <v>13528991</v>
      </c>
      <c r="M36" s="159">
        <v>601296</v>
      </c>
      <c r="N36" s="327">
        <v>62833785</v>
      </c>
      <c r="O36" s="159">
        <v>142318</v>
      </c>
      <c r="P36" s="235">
        <v>78676845</v>
      </c>
      <c r="Q36" s="96"/>
      <c r="R36" s="14"/>
      <c r="S36" s="14"/>
      <c r="T36" s="14"/>
      <c r="U36" s="43"/>
      <c r="V36" s="43"/>
    </row>
    <row r="37" spans="1:23" ht="15" customHeight="1">
      <c r="A37" s="456" t="str">
        <f>'I-2'!A38</f>
        <v>2023.9</v>
      </c>
      <c r="B37" s="161">
        <v>2231215</v>
      </c>
      <c r="C37" s="159">
        <v>64470</v>
      </c>
      <c r="D37" s="161">
        <v>12133521</v>
      </c>
      <c r="E37" s="159">
        <v>0</v>
      </c>
      <c r="F37" s="161">
        <v>14429206</v>
      </c>
      <c r="G37" s="159">
        <v>33850619</v>
      </c>
      <c r="H37" s="161">
        <v>1212506</v>
      </c>
      <c r="I37" s="159">
        <v>251665</v>
      </c>
      <c r="J37" s="161">
        <v>8837535</v>
      </c>
      <c r="K37" s="159">
        <v>199624</v>
      </c>
      <c r="L37" s="161">
        <v>12321136</v>
      </c>
      <c r="M37" s="159">
        <v>546640</v>
      </c>
      <c r="N37" s="327">
        <v>57219725</v>
      </c>
      <c r="O37" s="159">
        <v>130773</v>
      </c>
      <c r="P37" s="235">
        <v>71779703</v>
      </c>
      <c r="Q37" s="96"/>
      <c r="R37" s="14"/>
      <c r="S37" s="14"/>
      <c r="T37" s="14"/>
      <c r="U37" s="43"/>
      <c r="V37" s="43"/>
    </row>
    <row r="38" spans="1:23" ht="15" customHeight="1">
      <c r="A38" s="456" t="str">
        <f>'I-2'!A39</f>
        <v>2023.8</v>
      </c>
      <c r="B38" s="161">
        <v>2001680</v>
      </c>
      <c r="C38" s="159">
        <v>57756</v>
      </c>
      <c r="D38" s="161">
        <v>11178671</v>
      </c>
      <c r="E38" s="159">
        <v>0</v>
      </c>
      <c r="F38" s="161">
        <v>13238107</v>
      </c>
      <c r="G38" s="159">
        <v>30819720</v>
      </c>
      <c r="H38" s="161">
        <v>1094384</v>
      </c>
      <c r="I38" s="159">
        <v>225763</v>
      </c>
      <c r="J38" s="161">
        <v>7913118</v>
      </c>
      <c r="K38" s="159">
        <v>179390</v>
      </c>
      <c r="L38" s="161">
        <v>11195434</v>
      </c>
      <c r="M38" s="159">
        <v>490513</v>
      </c>
      <c r="N38" s="327">
        <v>51918321</v>
      </c>
      <c r="O38" s="159">
        <v>120285</v>
      </c>
      <c r="P38" s="235">
        <v>65276713</v>
      </c>
      <c r="Q38" s="96"/>
      <c r="R38" s="14"/>
      <c r="S38" s="14"/>
      <c r="T38" s="14"/>
      <c r="U38" s="43"/>
      <c r="V38" s="43"/>
    </row>
    <row r="39" spans="1:23" ht="15" customHeight="1" thickBot="1">
      <c r="A39" s="311"/>
      <c r="B39" s="305"/>
      <c r="C39" s="269"/>
      <c r="D39" s="268"/>
      <c r="E39" s="269"/>
      <c r="F39" s="268"/>
      <c r="G39" s="269"/>
      <c r="H39" s="268"/>
      <c r="I39" s="269"/>
      <c r="J39" s="268"/>
      <c r="K39" s="269"/>
      <c r="L39" s="268"/>
      <c r="M39" s="269"/>
      <c r="N39" s="268"/>
      <c r="O39" s="269"/>
      <c r="P39" s="305"/>
      <c r="Q39" s="96"/>
      <c r="R39" s="14"/>
      <c r="S39" s="14"/>
      <c r="T39" s="16"/>
    </row>
    <row r="40" spans="1:23" ht="15" customHeight="1">
      <c r="A40" s="176" t="s">
        <v>283</v>
      </c>
      <c r="B40" s="317"/>
      <c r="C40" s="317"/>
      <c r="D40" s="317"/>
      <c r="E40" s="317"/>
      <c r="F40" s="317"/>
      <c r="G40" s="318"/>
      <c r="H40" s="318"/>
      <c r="I40" s="318"/>
      <c r="J40" s="317"/>
      <c r="K40" s="317"/>
      <c r="L40" s="317"/>
      <c r="M40" s="317"/>
      <c r="N40" s="317"/>
      <c r="O40" s="317"/>
      <c r="P40" s="317"/>
    </row>
    <row r="41" spans="1:23" ht="15" customHeight="1"/>
    <row r="42" spans="1:23" ht="15" customHeight="1"/>
    <row r="43" spans="1:23" ht="15" customHeight="1"/>
    <row r="44" spans="1:23" ht="15" customHeight="1"/>
  </sheetData>
  <mergeCells count="16">
    <mergeCell ref="O7:O9"/>
    <mergeCell ref="P7:P9"/>
    <mergeCell ref="G7:N7"/>
    <mergeCell ref="N8:N9"/>
    <mergeCell ref="M8:M9"/>
    <mergeCell ref="L8:L9"/>
    <mergeCell ref="K8:K9"/>
    <mergeCell ref="J8:J9"/>
    <mergeCell ref="I8:I9"/>
    <mergeCell ref="B8:B9"/>
    <mergeCell ref="H8:H9"/>
    <mergeCell ref="G8:G9"/>
    <mergeCell ref="F8:F9"/>
    <mergeCell ref="E8:E9"/>
    <mergeCell ref="D8:D9"/>
    <mergeCell ref="C8:C9"/>
  </mergeCells>
  <phoneticPr fontId="2" type="noConversion"/>
  <pageMargins left="0.38" right="0.39" top="1" bottom="0.84" header="0.5" footer="0.5"/>
  <pageSetup paperSize="9" scale="81" orientation="landscape" r:id="rId1"/>
  <headerFooter alignWithMargins="0"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33"/>
  <sheetViews>
    <sheetView zoomScaleNormal="100" zoomScaleSheetLayoutView="90" workbookViewId="0">
      <pane xSplit="1" ySplit="10" topLeftCell="B20" activePane="bottomRight" state="frozen"/>
      <selection activeCell="P22" sqref="P22"/>
      <selection pane="topRight" activeCell="P22" sqref="P22"/>
      <selection pane="bottomLeft" activeCell="P22" sqref="P22"/>
      <selection pane="bottomRight" activeCell="B12" sqref="B12:U39"/>
    </sheetView>
  </sheetViews>
  <sheetFormatPr defaultColWidth="8.77734375" defaultRowHeight="12.95" customHeight="1"/>
  <cols>
    <col min="1" max="1" width="14.77734375" style="78" customWidth="1"/>
    <col min="2" max="2" width="11.77734375" style="32" customWidth="1"/>
    <col min="3" max="3" width="13.21875" style="32" bestFit="1" customWidth="1"/>
    <col min="4" max="20" width="11.77734375" style="32" customWidth="1"/>
    <col min="21" max="21" width="12.77734375" style="32" customWidth="1"/>
    <col min="22" max="22" width="6" style="67" bestFit="1" customWidth="1"/>
    <col min="23" max="23" width="8.77734375" style="32" customWidth="1"/>
    <col min="24" max="16384" width="8.77734375" style="33"/>
  </cols>
  <sheetData>
    <row r="1" spans="1:22" ht="15" customHeight="1">
      <c r="A1" s="68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69"/>
    </row>
    <row r="2" spans="1:22" ht="15" customHeight="1">
      <c r="A2" s="70" t="s">
        <v>172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V2" s="69"/>
    </row>
    <row r="3" spans="1:22" ht="15" customHeight="1">
      <c r="A3" s="70" t="s">
        <v>173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V3" s="71"/>
    </row>
    <row r="4" spans="1:22" ht="15" customHeight="1">
      <c r="A4" s="68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V4" s="69"/>
    </row>
    <row r="5" spans="1:22" ht="15" customHeight="1">
      <c r="A5" s="72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V5" s="69"/>
    </row>
    <row r="6" spans="1:22" ht="15" customHeight="1" thickBot="1">
      <c r="A6" s="177" t="str">
        <f>'III-3'!A6</f>
        <v>2023. 1. 1. - 2023. 11. 30.</v>
      </c>
      <c r="B6" s="179"/>
      <c r="C6" s="179"/>
      <c r="D6" s="179"/>
      <c r="E6" s="179"/>
      <c r="F6" s="179"/>
      <c r="G6" s="179"/>
      <c r="H6" s="179"/>
      <c r="I6" s="179"/>
      <c r="J6" s="180"/>
      <c r="K6" s="180"/>
      <c r="L6" s="179"/>
      <c r="M6" s="179"/>
      <c r="N6" s="179"/>
      <c r="O6" s="179"/>
      <c r="P6" s="179"/>
      <c r="Q6" s="179"/>
      <c r="R6" s="179"/>
      <c r="S6" s="179"/>
      <c r="T6" s="179"/>
      <c r="U6" s="178" t="s">
        <v>174</v>
      </c>
      <c r="V6" s="69"/>
    </row>
    <row r="7" spans="1:22" ht="15" customHeight="1">
      <c r="A7" s="340"/>
      <c r="B7" s="635" t="s">
        <v>220</v>
      </c>
      <c r="C7" s="639"/>
      <c r="D7" s="635" t="s">
        <v>42</v>
      </c>
      <c r="E7" s="639"/>
      <c r="F7" s="635" t="s">
        <v>177</v>
      </c>
      <c r="G7" s="639"/>
      <c r="H7" s="635" t="s">
        <v>178</v>
      </c>
      <c r="I7" s="639"/>
      <c r="J7" s="642" t="s">
        <v>171</v>
      </c>
      <c r="K7" s="639"/>
      <c r="L7" s="643" t="s">
        <v>160</v>
      </c>
      <c r="M7" s="639"/>
      <c r="N7" s="635" t="s">
        <v>161</v>
      </c>
      <c r="O7" s="639"/>
      <c r="P7" s="635" t="s">
        <v>44</v>
      </c>
      <c r="Q7" s="639"/>
      <c r="R7" s="635" t="s">
        <v>179</v>
      </c>
      <c r="S7" s="639"/>
      <c r="T7" s="635" t="s">
        <v>180</v>
      </c>
      <c r="U7" s="636"/>
      <c r="V7" s="73"/>
    </row>
    <row r="8" spans="1:22" ht="15" customHeight="1">
      <c r="A8" s="336"/>
      <c r="B8" s="637"/>
      <c r="C8" s="640"/>
      <c r="D8" s="637"/>
      <c r="E8" s="640"/>
      <c r="F8" s="637"/>
      <c r="G8" s="640"/>
      <c r="H8" s="637"/>
      <c r="I8" s="640"/>
      <c r="J8" s="637"/>
      <c r="K8" s="640"/>
      <c r="L8" s="638"/>
      <c r="M8" s="640"/>
      <c r="N8" s="637"/>
      <c r="O8" s="640"/>
      <c r="P8" s="637"/>
      <c r="Q8" s="640"/>
      <c r="R8" s="637"/>
      <c r="S8" s="640"/>
      <c r="T8" s="637"/>
      <c r="U8" s="638"/>
      <c r="V8" s="73"/>
    </row>
    <row r="9" spans="1:22" ht="15" customHeight="1">
      <c r="A9" s="336"/>
      <c r="B9" s="589"/>
      <c r="C9" s="641"/>
      <c r="D9" s="589"/>
      <c r="E9" s="641"/>
      <c r="F9" s="589"/>
      <c r="G9" s="641"/>
      <c r="H9" s="589"/>
      <c r="I9" s="641"/>
      <c r="J9" s="589"/>
      <c r="K9" s="641"/>
      <c r="L9" s="590"/>
      <c r="M9" s="641"/>
      <c r="N9" s="589"/>
      <c r="O9" s="641"/>
      <c r="P9" s="589"/>
      <c r="Q9" s="641"/>
      <c r="R9" s="589"/>
      <c r="S9" s="641"/>
      <c r="T9" s="589"/>
      <c r="U9" s="590"/>
      <c r="V9" s="73"/>
    </row>
    <row r="10" spans="1:22" ht="15" customHeight="1">
      <c r="A10" s="337"/>
      <c r="B10" s="341" t="s">
        <v>175</v>
      </c>
      <c r="C10" s="341" t="s">
        <v>176</v>
      </c>
      <c r="D10" s="341" t="s">
        <v>175</v>
      </c>
      <c r="E10" s="341" t="s">
        <v>176</v>
      </c>
      <c r="F10" s="341" t="s">
        <v>175</v>
      </c>
      <c r="G10" s="341" t="s">
        <v>176</v>
      </c>
      <c r="H10" s="341" t="s">
        <v>175</v>
      </c>
      <c r="I10" s="341" t="s">
        <v>176</v>
      </c>
      <c r="J10" s="341" t="s">
        <v>175</v>
      </c>
      <c r="K10" s="341" t="s">
        <v>176</v>
      </c>
      <c r="L10" s="342" t="s">
        <v>175</v>
      </c>
      <c r="M10" s="341" t="s">
        <v>176</v>
      </c>
      <c r="N10" s="341" t="s">
        <v>175</v>
      </c>
      <c r="O10" s="341" t="s">
        <v>176</v>
      </c>
      <c r="P10" s="341" t="s">
        <v>175</v>
      </c>
      <c r="Q10" s="341" t="s">
        <v>176</v>
      </c>
      <c r="R10" s="341" t="s">
        <v>175</v>
      </c>
      <c r="S10" s="341" t="s">
        <v>176</v>
      </c>
      <c r="T10" s="341" t="s">
        <v>175</v>
      </c>
      <c r="U10" s="343" t="s">
        <v>176</v>
      </c>
      <c r="V10" s="73"/>
    </row>
    <row r="11" spans="1:22" ht="15" customHeight="1">
      <c r="A11" s="329"/>
      <c r="B11" s="181"/>
      <c r="C11" s="156"/>
      <c r="D11" s="157"/>
      <c r="E11" s="156"/>
      <c r="F11" s="157"/>
      <c r="G11" s="156"/>
      <c r="H11" s="157"/>
      <c r="I11" s="156"/>
      <c r="J11" s="180"/>
      <c r="K11" s="156"/>
      <c r="L11" s="157"/>
      <c r="M11" s="156"/>
      <c r="N11" s="157"/>
      <c r="O11" s="156"/>
      <c r="P11" s="157"/>
      <c r="Q11" s="156"/>
      <c r="R11" s="157"/>
      <c r="S11" s="156"/>
      <c r="T11" s="330"/>
      <c r="U11" s="330"/>
      <c r="V11" s="74"/>
    </row>
    <row r="12" spans="1:22" ht="15" customHeight="1">
      <c r="A12" s="289" t="s">
        <v>3</v>
      </c>
      <c r="B12" s="235">
        <v>10165443</v>
      </c>
      <c r="C12" s="159">
        <v>300725915</v>
      </c>
      <c r="D12" s="161">
        <v>1260811</v>
      </c>
      <c r="E12" s="159">
        <v>26967598</v>
      </c>
      <c r="F12" s="161">
        <v>6066</v>
      </c>
      <c r="G12" s="159">
        <v>231102</v>
      </c>
      <c r="H12" s="161">
        <v>109706</v>
      </c>
      <c r="I12" s="159">
        <v>2214870</v>
      </c>
      <c r="J12" s="161">
        <v>15566</v>
      </c>
      <c r="K12" s="159">
        <v>395189</v>
      </c>
      <c r="L12" s="161">
        <v>527235</v>
      </c>
      <c r="M12" s="159">
        <v>4191401</v>
      </c>
      <c r="N12" s="161">
        <v>0</v>
      </c>
      <c r="O12" s="159">
        <v>0</v>
      </c>
      <c r="P12" s="161">
        <v>689676</v>
      </c>
      <c r="Q12" s="159">
        <v>21576624</v>
      </c>
      <c r="R12" s="161">
        <v>92800</v>
      </c>
      <c r="S12" s="159">
        <v>3315893</v>
      </c>
      <c r="T12" s="235">
        <v>10216749</v>
      </c>
      <c r="U12" s="235">
        <v>300660377</v>
      </c>
      <c r="V12" s="74"/>
    </row>
    <row r="13" spans="1:22" ht="15" customHeight="1">
      <c r="A13" s="289" t="s">
        <v>4</v>
      </c>
      <c r="B13" s="235">
        <v>2863827</v>
      </c>
      <c r="C13" s="159">
        <v>59440123</v>
      </c>
      <c r="D13" s="161">
        <v>870379</v>
      </c>
      <c r="E13" s="159">
        <v>10346340</v>
      </c>
      <c r="F13" s="161">
        <v>1297</v>
      </c>
      <c r="G13" s="159">
        <v>68045</v>
      </c>
      <c r="H13" s="161">
        <v>7687</v>
      </c>
      <c r="I13" s="159">
        <v>338703</v>
      </c>
      <c r="J13" s="161">
        <v>3983</v>
      </c>
      <c r="K13" s="159">
        <v>74264</v>
      </c>
      <c r="L13" s="161">
        <v>1229965</v>
      </c>
      <c r="M13" s="159">
        <v>11881516</v>
      </c>
      <c r="N13" s="161">
        <v>0</v>
      </c>
      <c r="O13" s="159">
        <v>0</v>
      </c>
      <c r="P13" s="161">
        <v>131143</v>
      </c>
      <c r="Q13" s="159">
        <v>4670498</v>
      </c>
      <c r="R13" s="161">
        <v>64194</v>
      </c>
      <c r="S13" s="159">
        <v>891508</v>
      </c>
      <c r="T13" s="235">
        <v>2313905</v>
      </c>
      <c r="U13" s="235">
        <v>52675424</v>
      </c>
      <c r="V13" s="74"/>
    </row>
    <row r="14" spans="1:22" ht="15" customHeight="1">
      <c r="A14" s="289" t="s">
        <v>5</v>
      </c>
      <c r="B14" s="235">
        <v>17500389</v>
      </c>
      <c r="C14" s="159">
        <v>599522135</v>
      </c>
      <c r="D14" s="161">
        <v>2109265</v>
      </c>
      <c r="E14" s="159">
        <v>39182125</v>
      </c>
      <c r="F14" s="161">
        <v>7943</v>
      </c>
      <c r="G14" s="159">
        <v>330319</v>
      </c>
      <c r="H14" s="161">
        <v>26813</v>
      </c>
      <c r="I14" s="159">
        <v>1215047</v>
      </c>
      <c r="J14" s="161">
        <v>23129</v>
      </c>
      <c r="K14" s="159">
        <v>659641</v>
      </c>
      <c r="L14" s="161">
        <v>1048068</v>
      </c>
      <c r="M14" s="159">
        <v>12400016</v>
      </c>
      <c r="N14" s="161">
        <v>0</v>
      </c>
      <c r="O14" s="159">
        <v>0</v>
      </c>
      <c r="P14" s="161">
        <v>1068121</v>
      </c>
      <c r="Q14" s="159">
        <v>39714378</v>
      </c>
      <c r="R14" s="161">
        <v>28811</v>
      </c>
      <c r="S14" s="159">
        <v>1544148</v>
      </c>
      <c r="T14" s="235">
        <v>17476281</v>
      </c>
      <c r="U14" s="235">
        <v>585931443</v>
      </c>
      <c r="V14" s="74"/>
    </row>
    <row r="15" spans="1:22" ht="15" customHeight="1">
      <c r="A15" s="289" t="s">
        <v>6</v>
      </c>
      <c r="B15" s="235">
        <v>2644120</v>
      </c>
      <c r="C15" s="159">
        <v>68084224</v>
      </c>
      <c r="D15" s="161">
        <v>222424</v>
      </c>
      <c r="E15" s="159">
        <v>1595358</v>
      </c>
      <c r="F15" s="161">
        <v>2620</v>
      </c>
      <c r="G15" s="159">
        <v>72615</v>
      </c>
      <c r="H15" s="161">
        <v>34885</v>
      </c>
      <c r="I15" s="159">
        <v>923205</v>
      </c>
      <c r="J15" s="161">
        <v>4674</v>
      </c>
      <c r="K15" s="159">
        <v>93478</v>
      </c>
      <c r="L15" s="161">
        <v>54817</v>
      </c>
      <c r="M15" s="159">
        <v>1271872</v>
      </c>
      <c r="N15" s="161">
        <v>0</v>
      </c>
      <c r="O15" s="159">
        <v>0</v>
      </c>
      <c r="P15" s="161">
        <v>198566</v>
      </c>
      <c r="Q15" s="159">
        <v>5553768</v>
      </c>
      <c r="R15" s="161">
        <v>39004</v>
      </c>
      <c r="S15" s="159">
        <v>844815</v>
      </c>
      <c r="T15" s="235">
        <v>2606988</v>
      </c>
      <c r="U15" s="235">
        <v>62911469</v>
      </c>
      <c r="V15" s="74"/>
    </row>
    <row r="16" spans="1:22" ht="15" customHeight="1">
      <c r="A16" s="289" t="s">
        <v>7</v>
      </c>
      <c r="B16" s="235">
        <v>8093465</v>
      </c>
      <c r="C16" s="159">
        <v>289080880</v>
      </c>
      <c r="D16" s="161">
        <v>1229123</v>
      </c>
      <c r="E16" s="159">
        <v>35594031</v>
      </c>
      <c r="F16" s="161">
        <v>3940</v>
      </c>
      <c r="G16" s="159">
        <v>156969</v>
      </c>
      <c r="H16" s="161">
        <v>27116</v>
      </c>
      <c r="I16" s="159">
        <v>1154970</v>
      </c>
      <c r="J16" s="161">
        <v>12636</v>
      </c>
      <c r="K16" s="159">
        <v>346109</v>
      </c>
      <c r="L16" s="161">
        <v>410574</v>
      </c>
      <c r="M16" s="159">
        <v>7859099</v>
      </c>
      <c r="N16" s="161">
        <v>0</v>
      </c>
      <c r="O16" s="159">
        <v>0</v>
      </c>
      <c r="P16" s="161">
        <v>544387</v>
      </c>
      <c r="Q16" s="159">
        <v>22041700</v>
      </c>
      <c r="R16" s="161">
        <v>47839</v>
      </c>
      <c r="S16" s="159">
        <v>3046985</v>
      </c>
      <c r="T16" s="235">
        <v>8338208</v>
      </c>
      <c r="U16" s="235">
        <v>292692956</v>
      </c>
      <c r="V16" s="74"/>
    </row>
    <row r="17" spans="1:22" ht="15" customHeight="1">
      <c r="A17" s="289" t="s">
        <v>8</v>
      </c>
      <c r="B17" s="235">
        <v>1017859</v>
      </c>
      <c r="C17" s="159">
        <v>19168206</v>
      </c>
      <c r="D17" s="161">
        <v>271657</v>
      </c>
      <c r="E17" s="159">
        <v>3076000</v>
      </c>
      <c r="F17" s="161">
        <v>916</v>
      </c>
      <c r="G17" s="159">
        <v>27605</v>
      </c>
      <c r="H17" s="161">
        <v>260</v>
      </c>
      <c r="I17" s="159">
        <v>10979</v>
      </c>
      <c r="J17" s="161">
        <v>756</v>
      </c>
      <c r="K17" s="159">
        <v>16528</v>
      </c>
      <c r="L17" s="161">
        <v>599785</v>
      </c>
      <c r="M17" s="159">
        <v>3467737</v>
      </c>
      <c r="N17" s="161">
        <v>68258</v>
      </c>
      <c r="O17" s="159">
        <v>385161</v>
      </c>
      <c r="P17" s="161">
        <v>47348</v>
      </c>
      <c r="Q17" s="159">
        <v>2308886</v>
      </c>
      <c r="R17" s="161">
        <v>908</v>
      </c>
      <c r="S17" s="159">
        <v>52859</v>
      </c>
      <c r="T17" s="235">
        <v>573637</v>
      </c>
      <c r="U17" s="235">
        <v>16051619</v>
      </c>
      <c r="V17" s="74"/>
    </row>
    <row r="18" spans="1:22" ht="15" customHeight="1">
      <c r="A18" s="289" t="s">
        <v>9</v>
      </c>
      <c r="B18" s="235">
        <v>2389981</v>
      </c>
      <c r="C18" s="159">
        <v>85474618</v>
      </c>
      <c r="D18" s="161">
        <v>108687</v>
      </c>
      <c r="E18" s="159">
        <v>4243569</v>
      </c>
      <c r="F18" s="161">
        <v>2208</v>
      </c>
      <c r="G18" s="159">
        <v>134938</v>
      </c>
      <c r="H18" s="161">
        <v>9776</v>
      </c>
      <c r="I18" s="159">
        <v>423330</v>
      </c>
      <c r="J18" s="161">
        <v>3922</v>
      </c>
      <c r="K18" s="159">
        <v>107105</v>
      </c>
      <c r="L18" s="161">
        <v>23642</v>
      </c>
      <c r="M18" s="159">
        <v>897412</v>
      </c>
      <c r="N18" s="161">
        <v>0</v>
      </c>
      <c r="O18" s="159">
        <v>0</v>
      </c>
      <c r="P18" s="161">
        <v>147707</v>
      </c>
      <c r="Q18" s="159">
        <v>7615737</v>
      </c>
      <c r="R18" s="161">
        <v>12870</v>
      </c>
      <c r="S18" s="159">
        <v>762825</v>
      </c>
      <c r="T18" s="235">
        <v>2322511</v>
      </c>
      <c r="U18" s="235">
        <v>80893375</v>
      </c>
      <c r="V18" s="74"/>
    </row>
    <row r="19" spans="1:22" ht="15" customHeight="1">
      <c r="A19" s="289" t="s">
        <v>10</v>
      </c>
      <c r="B19" s="235">
        <v>1725770</v>
      </c>
      <c r="C19" s="159">
        <v>49919107</v>
      </c>
      <c r="D19" s="161">
        <v>78710</v>
      </c>
      <c r="E19" s="159">
        <v>2480004</v>
      </c>
      <c r="F19" s="161">
        <v>1287</v>
      </c>
      <c r="G19" s="159">
        <v>53356</v>
      </c>
      <c r="H19" s="161">
        <v>5251</v>
      </c>
      <c r="I19" s="159">
        <v>217850</v>
      </c>
      <c r="J19" s="161">
        <v>3327</v>
      </c>
      <c r="K19" s="159">
        <v>69274</v>
      </c>
      <c r="L19" s="161">
        <v>15536</v>
      </c>
      <c r="M19" s="159">
        <v>485960</v>
      </c>
      <c r="N19" s="161">
        <v>0</v>
      </c>
      <c r="O19" s="159">
        <v>0</v>
      </c>
      <c r="P19" s="161">
        <v>118655</v>
      </c>
      <c r="Q19" s="159">
        <v>4212428</v>
      </c>
      <c r="R19" s="161">
        <v>17029</v>
      </c>
      <c r="S19" s="159">
        <v>534310</v>
      </c>
      <c r="T19" s="235">
        <v>1656471</v>
      </c>
      <c r="U19" s="235">
        <v>47368346</v>
      </c>
      <c r="V19" s="74"/>
    </row>
    <row r="20" spans="1:22" ht="15" customHeight="1">
      <c r="A20" s="289" t="s">
        <v>11</v>
      </c>
      <c r="B20" s="235">
        <v>1466734</v>
      </c>
      <c r="C20" s="159">
        <v>44497413</v>
      </c>
      <c r="D20" s="161">
        <v>155122</v>
      </c>
      <c r="E20" s="159">
        <v>3666805</v>
      </c>
      <c r="F20" s="161">
        <v>2639</v>
      </c>
      <c r="G20" s="159">
        <v>65979</v>
      </c>
      <c r="H20" s="161">
        <v>3340</v>
      </c>
      <c r="I20" s="159">
        <v>207533</v>
      </c>
      <c r="J20" s="161">
        <v>2000</v>
      </c>
      <c r="K20" s="159">
        <v>47051</v>
      </c>
      <c r="L20" s="161">
        <v>6437</v>
      </c>
      <c r="M20" s="159">
        <v>147141</v>
      </c>
      <c r="N20" s="161">
        <v>0</v>
      </c>
      <c r="O20" s="159">
        <v>0</v>
      </c>
      <c r="P20" s="161">
        <v>114254</v>
      </c>
      <c r="Q20" s="159">
        <v>3760552</v>
      </c>
      <c r="R20" s="161">
        <v>11088</v>
      </c>
      <c r="S20" s="159">
        <v>443609</v>
      </c>
      <c r="T20" s="235">
        <v>1494056</v>
      </c>
      <c r="U20" s="235">
        <v>44039377</v>
      </c>
      <c r="V20" s="74"/>
    </row>
    <row r="21" spans="1:22" ht="15" customHeight="1">
      <c r="A21" s="289" t="s">
        <v>12</v>
      </c>
      <c r="B21" s="235">
        <v>3720634</v>
      </c>
      <c r="C21" s="159">
        <v>88143262</v>
      </c>
      <c r="D21" s="161">
        <v>453201</v>
      </c>
      <c r="E21" s="159">
        <v>6730056</v>
      </c>
      <c r="F21" s="161">
        <v>5956</v>
      </c>
      <c r="G21" s="159">
        <v>133264</v>
      </c>
      <c r="H21" s="161">
        <v>12383</v>
      </c>
      <c r="I21" s="159">
        <v>390785</v>
      </c>
      <c r="J21" s="161">
        <v>4297</v>
      </c>
      <c r="K21" s="159">
        <v>90969</v>
      </c>
      <c r="L21" s="161">
        <v>64812</v>
      </c>
      <c r="M21" s="159">
        <v>1818133</v>
      </c>
      <c r="N21" s="161">
        <v>0</v>
      </c>
      <c r="O21" s="159">
        <v>0</v>
      </c>
      <c r="P21" s="161">
        <v>298354</v>
      </c>
      <c r="Q21" s="159">
        <v>7563130</v>
      </c>
      <c r="R21" s="161">
        <v>38321</v>
      </c>
      <c r="S21" s="159">
        <v>808063</v>
      </c>
      <c r="T21" s="235">
        <v>3786390</v>
      </c>
      <c r="U21" s="235">
        <v>85117073</v>
      </c>
      <c r="V21" s="74"/>
    </row>
    <row r="22" spans="1:22" ht="15" customHeight="1">
      <c r="A22" s="289" t="s">
        <v>13</v>
      </c>
      <c r="B22" s="235">
        <v>1577543</v>
      </c>
      <c r="C22" s="159">
        <v>70504337</v>
      </c>
      <c r="D22" s="161">
        <v>124681</v>
      </c>
      <c r="E22" s="159">
        <v>5568547</v>
      </c>
      <c r="F22" s="161">
        <v>2896</v>
      </c>
      <c r="G22" s="159">
        <v>135827</v>
      </c>
      <c r="H22" s="161">
        <v>26990</v>
      </c>
      <c r="I22" s="159">
        <v>1800244</v>
      </c>
      <c r="J22" s="161">
        <v>1751</v>
      </c>
      <c r="K22" s="159">
        <v>59103</v>
      </c>
      <c r="L22" s="161">
        <v>8071</v>
      </c>
      <c r="M22" s="159">
        <v>256800</v>
      </c>
      <c r="N22" s="161">
        <v>0</v>
      </c>
      <c r="O22" s="159">
        <v>0</v>
      </c>
      <c r="P22" s="161">
        <v>121735</v>
      </c>
      <c r="Q22" s="159">
        <v>6343164</v>
      </c>
      <c r="R22" s="161">
        <v>26087</v>
      </c>
      <c r="S22" s="159">
        <v>2081682</v>
      </c>
      <c r="T22" s="235">
        <v>1574466</v>
      </c>
      <c r="U22" s="235">
        <v>69268204</v>
      </c>
      <c r="V22" s="74"/>
    </row>
    <row r="23" spans="1:22" ht="15" customHeight="1">
      <c r="A23" s="289" t="s">
        <v>36</v>
      </c>
      <c r="B23" s="235">
        <v>1709889</v>
      </c>
      <c r="C23" s="159">
        <v>85888585</v>
      </c>
      <c r="D23" s="161">
        <v>156898</v>
      </c>
      <c r="E23" s="159">
        <v>5978187</v>
      </c>
      <c r="F23" s="161">
        <v>3400</v>
      </c>
      <c r="G23" s="159">
        <v>187678</v>
      </c>
      <c r="H23" s="161">
        <v>1196</v>
      </c>
      <c r="I23" s="159">
        <v>75609</v>
      </c>
      <c r="J23" s="161">
        <v>1423</v>
      </c>
      <c r="K23" s="159">
        <v>70110</v>
      </c>
      <c r="L23" s="161">
        <v>28618</v>
      </c>
      <c r="M23" s="159">
        <v>301560</v>
      </c>
      <c r="N23" s="161">
        <v>0</v>
      </c>
      <c r="O23" s="159">
        <v>0</v>
      </c>
      <c r="P23" s="161">
        <v>131393</v>
      </c>
      <c r="Q23" s="159">
        <v>7184176</v>
      </c>
      <c r="R23" s="161">
        <v>4717</v>
      </c>
      <c r="S23" s="159">
        <v>533886</v>
      </c>
      <c r="T23" s="235">
        <v>1705232</v>
      </c>
      <c r="U23" s="235">
        <v>84040327</v>
      </c>
      <c r="V23" s="74"/>
    </row>
    <row r="24" spans="1:22" ht="15" customHeight="1">
      <c r="A24" s="296" t="s">
        <v>37</v>
      </c>
      <c r="B24" s="235">
        <v>6579677</v>
      </c>
      <c r="C24" s="159">
        <v>188705722</v>
      </c>
      <c r="D24" s="161">
        <v>549426</v>
      </c>
      <c r="E24" s="159">
        <v>15957971</v>
      </c>
      <c r="F24" s="161">
        <v>15570</v>
      </c>
      <c r="G24" s="159">
        <v>492690</v>
      </c>
      <c r="H24" s="161">
        <v>18379</v>
      </c>
      <c r="I24" s="159">
        <v>560402</v>
      </c>
      <c r="J24" s="161">
        <v>6338</v>
      </c>
      <c r="K24" s="159">
        <v>151189</v>
      </c>
      <c r="L24" s="161">
        <v>92214</v>
      </c>
      <c r="M24" s="159">
        <v>1097934</v>
      </c>
      <c r="N24" s="161">
        <v>0</v>
      </c>
      <c r="O24" s="159">
        <v>0</v>
      </c>
      <c r="P24" s="161">
        <v>496330</v>
      </c>
      <c r="Q24" s="159">
        <v>15869439</v>
      </c>
      <c r="R24" s="161">
        <v>160784</v>
      </c>
      <c r="S24" s="159">
        <v>3286619</v>
      </c>
      <c r="T24" s="235">
        <v>6407386</v>
      </c>
      <c r="U24" s="235">
        <v>185311604</v>
      </c>
      <c r="V24" s="74"/>
    </row>
    <row r="25" spans="1:22" ht="15" customHeight="1">
      <c r="A25" s="289" t="s">
        <v>14</v>
      </c>
      <c r="B25" s="235">
        <v>141112</v>
      </c>
      <c r="C25" s="159">
        <v>4638523</v>
      </c>
      <c r="D25" s="161">
        <v>4950</v>
      </c>
      <c r="E25" s="159">
        <v>130397</v>
      </c>
      <c r="F25" s="161">
        <v>39</v>
      </c>
      <c r="G25" s="159">
        <v>2056</v>
      </c>
      <c r="H25" s="161">
        <v>2521</v>
      </c>
      <c r="I25" s="159">
        <v>82025</v>
      </c>
      <c r="J25" s="161">
        <v>211</v>
      </c>
      <c r="K25" s="159">
        <v>7110</v>
      </c>
      <c r="L25" s="161">
        <v>1038</v>
      </c>
      <c r="M25" s="159">
        <v>20766</v>
      </c>
      <c r="N25" s="161">
        <v>0</v>
      </c>
      <c r="O25" s="159">
        <v>0</v>
      </c>
      <c r="P25" s="161">
        <v>15439</v>
      </c>
      <c r="Q25" s="159">
        <v>501710</v>
      </c>
      <c r="R25" s="161">
        <v>252</v>
      </c>
      <c r="S25" s="159">
        <v>23463</v>
      </c>
      <c r="T25" s="235">
        <v>131682</v>
      </c>
      <c r="U25" s="235">
        <v>4299951</v>
      </c>
      <c r="V25" s="74"/>
    </row>
    <row r="26" spans="1:22" ht="15" customHeight="1">
      <c r="A26" s="289" t="s">
        <v>15</v>
      </c>
      <c r="B26" s="235">
        <v>757875</v>
      </c>
      <c r="C26" s="159">
        <v>7374764</v>
      </c>
      <c r="D26" s="161">
        <v>299067</v>
      </c>
      <c r="E26" s="159">
        <v>1813356</v>
      </c>
      <c r="F26" s="161">
        <v>1219</v>
      </c>
      <c r="G26" s="159">
        <v>23237</v>
      </c>
      <c r="H26" s="161">
        <v>23796</v>
      </c>
      <c r="I26" s="159">
        <v>55777</v>
      </c>
      <c r="J26" s="161">
        <v>319</v>
      </c>
      <c r="K26" s="159">
        <v>6087</v>
      </c>
      <c r="L26" s="161">
        <v>487627</v>
      </c>
      <c r="M26" s="159">
        <v>854885</v>
      </c>
      <c r="N26" s="161">
        <v>0</v>
      </c>
      <c r="O26" s="159">
        <v>0</v>
      </c>
      <c r="P26" s="161">
        <v>57905</v>
      </c>
      <c r="Q26" s="159">
        <v>885415</v>
      </c>
      <c r="R26" s="161">
        <v>3549</v>
      </c>
      <c r="S26" s="159">
        <v>122641</v>
      </c>
      <c r="T26" s="235">
        <v>532557</v>
      </c>
      <c r="U26" s="235">
        <v>7398105</v>
      </c>
      <c r="V26" s="74"/>
    </row>
    <row r="27" spans="1:22" ht="15" customHeight="1">
      <c r="A27" s="289" t="s">
        <v>16</v>
      </c>
      <c r="B27" s="235">
        <v>105688</v>
      </c>
      <c r="C27" s="159">
        <v>3651113</v>
      </c>
      <c r="D27" s="161">
        <v>47728</v>
      </c>
      <c r="E27" s="159">
        <v>2041442</v>
      </c>
      <c r="F27" s="161">
        <v>804</v>
      </c>
      <c r="G27" s="159">
        <v>47296</v>
      </c>
      <c r="H27" s="161">
        <v>39</v>
      </c>
      <c r="I27" s="159">
        <v>4187</v>
      </c>
      <c r="J27" s="161">
        <v>117</v>
      </c>
      <c r="K27" s="159">
        <v>6702</v>
      </c>
      <c r="L27" s="161">
        <v>12438</v>
      </c>
      <c r="M27" s="159">
        <v>286985</v>
      </c>
      <c r="N27" s="161">
        <v>0</v>
      </c>
      <c r="O27" s="159">
        <v>0</v>
      </c>
      <c r="P27" s="161">
        <v>16390</v>
      </c>
      <c r="Q27" s="159">
        <v>685911</v>
      </c>
      <c r="R27" s="161">
        <v>19639</v>
      </c>
      <c r="S27" s="159">
        <v>336045</v>
      </c>
      <c r="T27" s="235">
        <v>105675</v>
      </c>
      <c r="U27" s="235">
        <v>4428395</v>
      </c>
      <c r="V27" s="74"/>
    </row>
    <row r="28" spans="1:22" ht="15" customHeight="1">
      <c r="A28" s="289" t="s">
        <v>17</v>
      </c>
      <c r="B28" s="235">
        <v>1800152</v>
      </c>
      <c r="C28" s="159">
        <v>22505706</v>
      </c>
      <c r="D28" s="161">
        <v>1216967</v>
      </c>
      <c r="E28" s="159">
        <v>6611016</v>
      </c>
      <c r="F28" s="161">
        <v>540</v>
      </c>
      <c r="G28" s="159">
        <v>18403</v>
      </c>
      <c r="H28" s="161">
        <v>92</v>
      </c>
      <c r="I28" s="159">
        <v>3035</v>
      </c>
      <c r="J28" s="161">
        <v>1017</v>
      </c>
      <c r="K28" s="159">
        <v>26331</v>
      </c>
      <c r="L28" s="161">
        <v>1128827</v>
      </c>
      <c r="M28" s="159">
        <v>5179752</v>
      </c>
      <c r="N28" s="161">
        <v>5438</v>
      </c>
      <c r="O28" s="159">
        <v>221697</v>
      </c>
      <c r="P28" s="161">
        <v>67326</v>
      </c>
      <c r="Q28" s="159">
        <v>2167899</v>
      </c>
      <c r="R28" s="161">
        <v>12008</v>
      </c>
      <c r="S28" s="159">
        <v>302277</v>
      </c>
      <c r="T28" s="235">
        <v>1803135</v>
      </c>
      <c r="U28" s="235">
        <v>21240203</v>
      </c>
      <c r="V28" s="74"/>
    </row>
    <row r="29" spans="1:22" ht="15" customHeight="1">
      <c r="A29" s="289" t="s">
        <v>18</v>
      </c>
      <c r="B29" s="235">
        <v>6532820</v>
      </c>
      <c r="C29" s="159">
        <v>126846452</v>
      </c>
      <c r="D29" s="161">
        <v>873574</v>
      </c>
      <c r="E29" s="159">
        <v>11020713</v>
      </c>
      <c r="F29" s="161">
        <v>32443</v>
      </c>
      <c r="G29" s="159">
        <v>619628</v>
      </c>
      <c r="H29" s="161">
        <v>261</v>
      </c>
      <c r="I29" s="159">
        <v>7407</v>
      </c>
      <c r="J29" s="161">
        <v>21794</v>
      </c>
      <c r="K29" s="159">
        <v>262891</v>
      </c>
      <c r="L29" s="161">
        <v>74215</v>
      </c>
      <c r="M29" s="159">
        <v>1042866</v>
      </c>
      <c r="N29" s="161">
        <v>0</v>
      </c>
      <c r="O29" s="159">
        <v>0</v>
      </c>
      <c r="P29" s="161">
        <v>725601</v>
      </c>
      <c r="Q29" s="159">
        <v>12481054</v>
      </c>
      <c r="R29" s="161">
        <v>35075</v>
      </c>
      <c r="S29" s="159">
        <v>599025</v>
      </c>
      <c r="T29" s="235">
        <v>6582413</v>
      </c>
      <c r="U29" s="235">
        <v>124108364</v>
      </c>
      <c r="V29" s="74"/>
    </row>
    <row r="30" spans="1:22" ht="15" customHeight="1">
      <c r="A30" s="289" t="s">
        <v>19</v>
      </c>
      <c r="B30" s="235">
        <v>4120929</v>
      </c>
      <c r="C30" s="159">
        <v>108314824</v>
      </c>
      <c r="D30" s="161">
        <v>359164</v>
      </c>
      <c r="E30" s="159">
        <v>17482034</v>
      </c>
      <c r="F30" s="161">
        <v>22886</v>
      </c>
      <c r="G30" s="159">
        <v>777542</v>
      </c>
      <c r="H30" s="161">
        <v>63909</v>
      </c>
      <c r="I30" s="159">
        <v>1948302</v>
      </c>
      <c r="J30" s="161">
        <v>10673</v>
      </c>
      <c r="K30" s="159">
        <v>181957</v>
      </c>
      <c r="L30" s="161">
        <v>48638</v>
      </c>
      <c r="M30" s="159">
        <v>2404153</v>
      </c>
      <c r="N30" s="161">
        <v>0</v>
      </c>
      <c r="O30" s="159">
        <v>0</v>
      </c>
      <c r="P30" s="161">
        <v>324317</v>
      </c>
      <c r="Q30" s="159">
        <v>11217492</v>
      </c>
      <c r="R30" s="161">
        <v>91665</v>
      </c>
      <c r="S30" s="159">
        <v>2714604</v>
      </c>
      <c r="T30" s="235">
        <v>4091595</v>
      </c>
      <c r="U30" s="235">
        <v>112004496</v>
      </c>
      <c r="V30" s="74"/>
    </row>
    <row r="31" spans="1:22" ht="15" customHeight="1">
      <c r="A31" s="289" t="s">
        <v>20</v>
      </c>
      <c r="B31" s="235">
        <v>252265</v>
      </c>
      <c r="C31" s="159">
        <v>10629799</v>
      </c>
      <c r="D31" s="161">
        <v>20762</v>
      </c>
      <c r="E31" s="159">
        <v>1123283</v>
      </c>
      <c r="F31" s="161">
        <v>553</v>
      </c>
      <c r="G31" s="159">
        <v>19407</v>
      </c>
      <c r="H31" s="161">
        <v>38</v>
      </c>
      <c r="I31" s="159">
        <v>1692</v>
      </c>
      <c r="J31" s="161">
        <v>238</v>
      </c>
      <c r="K31" s="159">
        <v>10233</v>
      </c>
      <c r="L31" s="161">
        <v>1</v>
      </c>
      <c r="M31" s="159">
        <v>29</v>
      </c>
      <c r="N31" s="161">
        <v>0</v>
      </c>
      <c r="O31" s="159">
        <v>0</v>
      </c>
      <c r="P31" s="161">
        <v>26466</v>
      </c>
      <c r="Q31" s="159">
        <v>1269147</v>
      </c>
      <c r="R31" s="161">
        <v>851</v>
      </c>
      <c r="S31" s="159">
        <v>42396</v>
      </c>
      <c r="T31" s="235">
        <v>246062</v>
      </c>
      <c r="U31" s="235">
        <v>10452377</v>
      </c>
      <c r="V31" s="74"/>
    </row>
    <row r="32" spans="1:22" ht="15" customHeight="1">
      <c r="A32" s="289" t="s">
        <v>21</v>
      </c>
      <c r="B32" s="235">
        <v>4912151</v>
      </c>
      <c r="C32" s="159">
        <v>109976684</v>
      </c>
      <c r="D32" s="161">
        <v>1112775</v>
      </c>
      <c r="E32" s="159">
        <v>13677105</v>
      </c>
      <c r="F32" s="161">
        <v>3274</v>
      </c>
      <c r="G32" s="159">
        <v>87147</v>
      </c>
      <c r="H32" s="161">
        <v>11812</v>
      </c>
      <c r="I32" s="159">
        <v>400942</v>
      </c>
      <c r="J32" s="161">
        <v>14783</v>
      </c>
      <c r="K32" s="159">
        <v>301752</v>
      </c>
      <c r="L32" s="161">
        <v>893554</v>
      </c>
      <c r="M32" s="159">
        <v>10155966</v>
      </c>
      <c r="N32" s="161">
        <v>0</v>
      </c>
      <c r="O32" s="159">
        <v>0</v>
      </c>
      <c r="P32" s="161">
        <v>363911</v>
      </c>
      <c r="Q32" s="159">
        <v>8693711</v>
      </c>
      <c r="R32" s="161">
        <v>10877</v>
      </c>
      <c r="S32" s="159">
        <v>257431</v>
      </c>
      <c r="T32" s="235">
        <v>4756887</v>
      </c>
      <c r="U32" s="235">
        <v>104733018</v>
      </c>
      <c r="V32" s="74"/>
    </row>
    <row r="33" spans="1:22" ht="15" customHeight="1">
      <c r="A33" s="289" t="s">
        <v>22</v>
      </c>
      <c r="B33" s="235">
        <v>178994</v>
      </c>
      <c r="C33" s="159">
        <v>5807858</v>
      </c>
      <c r="D33" s="161">
        <v>15645</v>
      </c>
      <c r="E33" s="159">
        <v>834475</v>
      </c>
      <c r="F33" s="161">
        <v>314</v>
      </c>
      <c r="G33" s="159">
        <v>12512</v>
      </c>
      <c r="H33" s="161">
        <v>352</v>
      </c>
      <c r="I33" s="159">
        <v>49647</v>
      </c>
      <c r="J33" s="161">
        <v>53</v>
      </c>
      <c r="K33" s="159">
        <v>2344</v>
      </c>
      <c r="L33" s="161">
        <v>35934</v>
      </c>
      <c r="M33" s="159">
        <v>305415</v>
      </c>
      <c r="N33" s="161">
        <v>0</v>
      </c>
      <c r="O33" s="159">
        <v>0</v>
      </c>
      <c r="P33" s="161">
        <v>8882</v>
      </c>
      <c r="Q33" s="159">
        <v>346246</v>
      </c>
      <c r="R33" s="161">
        <v>312</v>
      </c>
      <c r="S33" s="159">
        <v>54271</v>
      </c>
      <c r="T33" s="235">
        <v>150124</v>
      </c>
      <c r="U33" s="235">
        <v>5996218</v>
      </c>
      <c r="V33" s="74"/>
    </row>
    <row r="34" spans="1:22" ht="15" customHeight="1">
      <c r="A34" s="289"/>
      <c r="B34" s="235" t="s">
        <v>2</v>
      </c>
      <c r="C34" s="159" t="s">
        <v>2</v>
      </c>
      <c r="D34" s="161" t="s">
        <v>2</v>
      </c>
      <c r="E34" s="159" t="s">
        <v>2</v>
      </c>
      <c r="F34" s="161" t="s">
        <v>2</v>
      </c>
      <c r="G34" s="159" t="s">
        <v>2</v>
      </c>
      <c r="H34" s="161" t="s">
        <v>2</v>
      </c>
      <c r="I34" s="159" t="s">
        <v>2</v>
      </c>
      <c r="J34" s="161" t="s">
        <v>2</v>
      </c>
      <c r="K34" s="159" t="s">
        <v>2</v>
      </c>
      <c r="L34" s="161" t="s">
        <v>2</v>
      </c>
      <c r="M34" s="159" t="s">
        <v>2</v>
      </c>
      <c r="N34" s="161" t="s">
        <v>2</v>
      </c>
      <c r="O34" s="159" t="s">
        <v>2</v>
      </c>
      <c r="P34" s="161" t="s">
        <v>2</v>
      </c>
      <c r="Q34" s="159" t="s">
        <v>2</v>
      </c>
      <c r="R34" s="161" t="s">
        <v>2</v>
      </c>
      <c r="S34" s="159" t="s">
        <v>2</v>
      </c>
      <c r="T34" s="235" t="s">
        <v>2</v>
      </c>
      <c r="U34" s="235" t="s">
        <v>2</v>
      </c>
      <c r="V34" s="74"/>
    </row>
    <row r="35" spans="1:22" ht="15" customHeight="1">
      <c r="A35" s="297" t="s">
        <v>0</v>
      </c>
      <c r="B35" s="414">
        <v>80257317</v>
      </c>
      <c r="C35" s="406">
        <v>2348900250</v>
      </c>
      <c r="D35" s="414">
        <v>11541016</v>
      </c>
      <c r="E35" s="406">
        <v>216120413</v>
      </c>
      <c r="F35" s="414">
        <v>118810</v>
      </c>
      <c r="G35" s="406">
        <v>3697616</v>
      </c>
      <c r="H35" s="414">
        <v>386602</v>
      </c>
      <c r="I35" s="406">
        <v>12086538</v>
      </c>
      <c r="J35" s="414">
        <v>133007</v>
      </c>
      <c r="K35" s="406">
        <v>2985416</v>
      </c>
      <c r="L35" s="414">
        <v>6792046</v>
      </c>
      <c r="M35" s="406">
        <v>66327398</v>
      </c>
      <c r="N35" s="414">
        <v>73696</v>
      </c>
      <c r="O35" s="406">
        <v>606858</v>
      </c>
      <c r="P35" s="414">
        <v>5713906</v>
      </c>
      <c r="Q35" s="406">
        <v>186663066</v>
      </c>
      <c r="R35" s="414">
        <v>718680</v>
      </c>
      <c r="S35" s="406">
        <v>22599356</v>
      </c>
      <c r="T35" s="413">
        <v>78872410</v>
      </c>
      <c r="U35" s="413">
        <v>2301622723</v>
      </c>
      <c r="V35" s="74"/>
    </row>
    <row r="36" spans="1:22" ht="15" customHeight="1">
      <c r="A36" s="297"/>
      <c r="B36" s="414" t="s">
        <v>2</v>
      </c>
      <c r="C36" s="406" t="s">
        <v>2</v>
      </c>
      <c r="D36" s="414" t="s">
        <v>2</v>
      </c>
      <c r="E36" s="406" t="s">
        <v>2</v>
      </c>
      <c r="F36" s="414" t="s">
        <v>2</v>
      </c>
      <c r="G36" s="406" t="s">
        <v>2</v>
      </c>
      <c r="H36" s="414" t="s">
        <v>2</v>
      </c>
      <c r="I36" s="406" t="s">
        <v>2</v>
      </c>
      <c r="J36" s="414" t="s">
        <v>2</v>
      </c>
      <c r="K36" s="406" t="s">
        <v>2</v>
      </c>
      <c r="L36" s="414" t="s">
        <v>2</v>
      </c>
      <c r="M36" s="406" t="s">
        <v>2</v>
      </c>
      <c r="N36" s="414" t="s">
        <v>2</v>
      </c>
      <c r="O36" s="406" t="s">
        <v>2</v>
      </c>
      <c r="P36" s="414" t="s">
        <v>2</v>
      </c>
      <c r="Q36" s="406" t="s">
        <v>2</v>
      </c>
      <c r="R36" s="414" t="s">
        <v>2</v>
      </c>
      <c r="S36" s="406" t="s">
        <v>2</v>
      </c>
      <c r="T36" s="413" t="s">
        <v>2</v>
      </c>
      <c r="U36" s="413" t="s">
        <v>2</v>
      </c>
      <c r="V36" s="74"/>
    </row>
    <row r="37" spans="1:22" ht="15" customHeight="1">
      <c r="A37" s="456" t="str">
        <f>'I-2'!A37</f>
        <v>2023.10</v>
      </c>
      <c r="B37" s="161">
        <v>80257331</v>
      </c>
      <c r="C37" s="159">
        <v>2348900264</v>
      </c>
      <c r="D37" s="161">
        <v>10670702</v>
      </c>
      <c r="E37" s="159">
        <v>199118453</v>
      </c>
      <c r="F37" s="161">
        <v>107075</v>
      </c>
      <c r="G37" s="159">
        <v>3337533</v>
      </c>
      <c r="H37" s="161">
        <v>356236</v>
      </c>
      <c r="I37" s="159">
        <v>11171725</v>
      </c>
      <c r="J37" s="161">
        <v>120221</v>
      </c>
      <c r="K37" s="159">
        <v>2705245</v>
      </c>
      <c r="L37" s="161">
        <v>6481493</v>
      </c>
      <c r="M37" s="159">
        <v>62662422</v>
      </c>
      <c r="N37" s="161">
        <v>67578</v>
      </c>
      <c r="O37" s="159">
        <v>599162</v>
      </c>
      <c r="P37" s="161">
        <v>5204153</v>
      </c>
      <c r="Q37" s="159">
        <v>170193889</v>
      </c>
      <c r="R37" s="161">
        <v>650555</v>
      </c>
      <c r="S37" s="159">
        <v>20787175</v>
      </c>
      <c r="T37" s="235">
        <v>78867344</v>
      </c>
      <c r="U37" s="235">
        <v>2305580083</v>
      </c>
      <c r="V37" s="74"/>
    </row>
    <row r="38" spans="1:22" ht="15" customHeight="1">
      <c r="A38" s="456" t="str">
        <f>'I-2'!A38</f>
        <v>2023.9</v>
      </c>
      <c r="B38" s="161">
        <v>80257331</v>
      </c>
      <c r="C38" s="159">
        <v>2348900264</v>
      </c>
      <c r="D38" s="161">
        <v>9789249</v>
      </c>
      <c r="E38" s="159">
        <v>182269751</v>
      </c>
      <c r="F38" s="161">
        <v>96673</v>
      </c>
      <c r="G38" s="159">
        <v>3020961</v>
      </c>
      <c r="H38" s="161">
        <v>317377</v>
      </c>
      <c r="I38" s="159">
        <v>10298883</v>
      </c>
      <c r="J38" s="161">
        <v>108354</v>
      </c>
      <c r="K38" s="159">
        <v>2434925</v>
      </c>
      <c r="L38" s="161">
        <v>6067445</v>
      </c>
      <c r="M38" s="159">
        <v>56020653</v>
      </c>
      <c r="N38" s="161">
        <v>42071</v>
      </c>
      <c r="O38" s="159">
        <v>381843</v>
      </c>
      <c r="P38" s="161">
        <v>4698069</v>
      </c>
      <c r="Q38" s="159">
        <v>154156447</v>
      </c>
      <c r="R38" s="161">
        <v>581125</v>
      </c>
      <c r="S38" s="159">
        <v>18967640</v>
      </c>
      <c r="T38" s="235">
        <v>78963566</v>
      </c>
      <c r="U38" s="235">
        <v>2312528350</v>
      </c>
      <c r="V38" s="74"/>
    </row>
    <row r="39" spans="1:22" ht="15" customHeight="1">
      <c r="A39" s="456" t="str">
        <f>'I-2'!A39</f>
        <v>2023.8</v>
      </c>
      <c r="B39" s="161">
        <v>80264701</v>
      </c>
      <c r="C39" s="159">
        <v>2349438447</v>
      </c>
      <c r="D39" s="161">
        <v>8906262</v>
      </c>
      <c r="E39" s="159">
        <v>166081908</v>
      </c>
      <c r="F39" s="161">
        <v>87117</v>
      </c>
      <c r="G39" s="159">
        <v>2726726</v>
      </c>
      <c r="H39" s="161">
        <v>285888</v>
      </c>
      <c r="I39" s="159">
        <v>9426544</v>
      </c>
      <c r="J39" s="161">
        <v>97322</v>
      </c>
      <c r="K39" s="159">
        <v>2177436</v>
      </c>
      <c r="L39" s="161">
        <v>5544984</v>
      </c>
      <c r="M39" s="159">
        <v>51815928</v>
      </c>
      <c r="N39" s="161">
        <v>27615</v>
      </c>
      <c r="O39" s="159">
        <v>357307</v>
      </c>
      <c r="P39" s="161">
        <v>4231779</v>
      </c>
      <c r="Q39" s="159">
        <v>139189862</v>
      </c>
      <c r="R39" s="161">
        <v>514447</v>
      </c>
      <c r="S39" s="159">
        <v>16931753</v>
      </c>
      <c r="T39" s="235">
        <v>79127821</v>
      </c>
      <c r="U39" s="235">
        <v>2317201339</v>
      </c>
      <c r="V39" s="74"/>
    </row>
    <row r="40" spans="1:22" ht="15" customHeight="1" thickBot="1">
      <c r="A40" s="331"/>
      <c r="B40" s="172"/>
      <c r="C40" s="332"/>
      <c r="D40" s="172"/>
      <c r="E40" s="332"/>
      <c r="F40" s="172"/>
      <c r="G40" s="332"/>
      <c r="H40" s="172"/>
      <c r="I40" s="332"/>
      <c r="J40" s="172"/>
      <c r="K40" s="332"/>
      <c r="L40" s="172"/>
      <c r="M40" s="332"/>
      <c r="N40" s="172"/>
      <c r="O40" s="332"/>
      <c r="P40" s="172"/>
      <c r="Q40" s="332"/>
      <c r="R40" s="172"/>
      <c r="S40" s="332"/>
      <c r="T40" s="333"/>
      <c r="U40" s="333"/>
      <c r="V40" s="74"/>
    </row>
    <row r="41" spans="1:22" ht="15" customHeight="1">
      <c r="A41" s="176" t="s">
        <v>283</v>
      </c>
      <c r="B41" s="334"/>
      <c r="C41" s="334"/>
      <c r="D41" s="334"/>
      <c r="E41" s="334"/>
      <c r="F41" s="334"/>
      <c r="G41" s="334"/>
      <c r="H41" s="334"/>
      <c r="I41" s="334"/>
      <c r="J41" s="335"/>
      <c r="K41" s="335"/>
      <c r="L41" s="334"/>
      <c r="M41" s="334"/>
      <c r="N41" s="334"/>
      <c r="O41" s="334"/>
      <c r="P41" s="334"/>
      <c r="Q41" s="334"/>
      <c r="R41" s="334"/>
      <c r="S41" s="334"/>
      <c r="T41" s="334"/>
      <c r="U41" s="334"/>
      <c r="V41" s="69"/>
    </row>
    <row r="42" spans="1:22" ht="15" customHeight="1">
      <c r="A42" s="338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69"/>
    </row>
    <row r="43" spans="1:22" ht="15" customHeight="1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9"/>
      <c r="V43" s="69"/>
    </row>
    <row r="44" spans="1:22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69"/>
      <c r="V44" s="69"/>
    </row>
    <row r="45" spans="1:22" ht="12.9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69"/>
      <c r="V45" s="69"/>
    </row>
    <row r="46" spans="1:22" ht="12.9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69"/>
      <c r="V46" s="69"/>
    </row>
    <row r="47" spans="1:22" ht="12.9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69"/>
      <c r="V47" s="69"/>
    </row>
    <row r="48" spans="1:22" ht="12.9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69"/>
      <c r="V48" s="69"/>
    </row>
    <row r="49" spans="1:22" ht="12.95" customHeight="1">
      <c r="A49" s="32"/>
      <c r="B49" s="14"/>
      <c r="U49" s="69"/>
      <c r="V49" s="69"/>
    </row>
    <row r="50" spans="1:22" ht="12.95" customHeight="1">
      <c r="A50" s="32"/>
      <c r="B50" s="14"/>
      <c r="U50" s="69"/>
      <c r="V50" s="69"/>
    </row>
    <row r="51" spans="1:22" ht="12.95" customHeight="1">
      <c r="A51" s="32"/>
      <c r="B51" s="14"/>
      <c r="U51" s="69"/>
      <c r="V51" s="69"/>
    </row>
    <row r="52" spans="1:22" ht="12.95" customHeight="1">
      <c r="A52" s="32"/>
      <c r="B52" s="14"/>
      <c r="U52" s="69"/>
      <c r="V52" s="69"/>
    </row>
    <row r="53" spans="1:22" ht="12.95" customHeight="1">
      <c r="A53" s="32"/>
      <c r="B53" s="14"/>
      <c r="U53" s="69"/>
      <c r="V53" s="69"/>
    </row>
    <row r="54" spans="1:22" ht="12.95" customHeight="1">
      <c r="A54" s="32"/>
      <c r="B54" s="14"/>
      <c r="U54" s="69"/>
      <c r="V54" s="69"/>
    </row>
    <row r="55" spans="1:22" ht="12.95" customHeight="1">
      <c r="A55" s="32"/>
      <c r="B55" s="14"/>
      <c r="U55" s="69"/>
      <c r="V55" s="69"/>
    </row>
    <row r="56" spans="1:22" ht="12.95" customHeight="1">
      <c r="A56" s="32"/>
      <c r="B56" s="14"/>
      <c r="U56" s="69"/>
      <c r="V56" s="69"/>
    </row>
    <row r="57" spans="1:22" ht="12.95" customHeight="1">
      <c r="A57" s="32"/>
      <c r="B57" s="14"/>
      <c r="U57" s="69"/>
      <c r="V57" s="69"/>
    </row>
    <row r="58" spans="1:22" ht="12.95" customHeight="1">
      <c r="A58" s="32"/>
      <c r="B58" s="14"/>
      <c r="U58" s="69"/>
      <c r="V58" s="69"/>
    </row>
    <row r="59" spans="1:22" ht="12.95" customHeight="1">
      <c r="A59" s="32"/>
      <c r="B59" s="14"/>
      <c r="U59" s="69"/>
      <c r="V59" s="69"/>
    </row>
    <row r="60" spans="1:22" ht="12.95" customHeight="1">
      <c r="A60" s="32"/>
      <c r="B60" s="14"/>
      <c r="U60" s="69"/>
      <c r="V60" s="69"/>
    </row>
    <row r="61" spans="1:22" ht="12.95" customHeight="1">
      <c r="A61" s="32"/>
      <c r="B61" s="14"/>
      <c r="U61" s="69"/>
      <c r="V61" s="69"/>
    </row>
    <row r="62" spans="1:22" ht="12.95" customHeight="1">
      <c r="A62" s="32"/>
      <c r="B62" s="14"/>
      <c r="U62" s="69"/>
      <c r="V62" s="69"/>
    </row>
    <row r="63" spans="1:22" ht="12.95" customHeight="1">
      <c r="A63" s="32"/>
      <c r="B63" s="14"/>
      <c r="U63" s="69"/>
      <c r="V63" s="69"/>
    </row>
    <row r="64" spans="1:22" ht="12.95" customHeight="1">
      <c r="A64" s="32"/>
      <c r="B64" s="14"/>
      <c r="U64" s="69"/>
      <c r="V64" s="69"/>
    </row>
    <row r="65" spans="1:22" ht="12.95" customHeight="1">
      <c r="A65" s="32"/>
      <c r="B65" s="14"/>
      <c r="U65" s="69"/>
      <c r="V65" s="69"/>
    </row>
    <row r="66" spans="1:22" ht="12.95" customHeight="1">
      <c r="A66" s="32"/>
      <c r="B66" s="14"/>
      <c r="U66" s="69"/>
      <c r="V66" s="69"/>
    </row>
    <row r="67" spans="1:22" ht="12.95" customHeight="1">
      <c r="A67" s="3"/>
      <c r="B67" s="14"/>
      <c r="C67" s="3"/>
      <c r="D67" s="3"/>
      <c r="E67" s="3"/>
      <c r="F67" s="3"/>
      <c r="G67" s="3"/>
      <c r="H67" s="3"/>
      <c r="I67" s="79"/>
      <c r="J67" s="79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69"/>
      <c r="V67" s="69"/>
    </row>
    <row r="68" spans="1:22" ht="12.95" customHeight="1">
      <c r="A68" s="35"/>
      <c r="B68" s="14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67"/>
    </row>
    <row r="69" spans="1:22" ht="12.95" customHeight="1">
      <c r="A69" s="80"/>
      <c r="B69" s="14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67"/>
    </row>
    <row r="70" spans="1:22" ht="12.95" customHeight="1">
      <c r="A70" s="77"/>
      <c r="B70" s="35"/>
      <c r="C70" s="14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2" ht="12.95" customHeight="1">
      <c r="A71" s="77"/>
      <c r="B71" s="35"/>
      <c r="C71" s="14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2" ht="12.95" customHeight="1">
      <c r="A72" s="77"/>
      <c r="B72" s="37"/>
      <c r="C72" s="14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2" ht="12.95" customHeight="1">
      <c r="A73" s="81"/>
      <c r="B73" s="37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spans="1:22" ht="12.95" customHeight="1">
      <c r="A74" s="81"/>
      <c r="B74" s="37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spans="1:22" ht="12.95" customHeight="1">
      <c r="A75" s="81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</row>
    <row r="76" spans="1:22" ht="12.95" customHeight="1">
      <c r="A76" s="81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</row>
    <row r="77" spans="1:22" ht="12.95" customHeight="1">
      <c r="A77" s="7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</row>
    <row r="78" spans="1:22" ht="12.95" customHeight="1">
      <c r="A78" s="7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</row>
    <row r="79" spans="1:22" ht="12.95" customHeight="1">
      <c r="A79" s="7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</row>
    <row r="80" spans="1:22" ht="12.95" customHeight="1">
      <c r="A80" s="7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1" spans="1:22" ht="12.95" customHeight="1">
      <c r="A81" s="7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</row>
    <row r="82" spans="1:22" ht="12.95" customHeight="1">
      <c r="A82" s="7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</row>
    <row r="83" spans="1:22" ht="12.95" customHeight="1">
      <c r="A83" s="7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</row>
    <row r="84" spans="1:22" ht="12.95" customHeight="1">
      <c r="A84" s="7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</row>
    <row r="85" spans="1:22" ht="12.95" customHeight="1">
      <c r="A85" s="7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</row>
    <row r="86" spans="1:22" ht="12.95" customHeight="1">
      <c r="A86" s="7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82"/>
    </row>
    <row r="87" spans="1:22" ht="12.95" customHeight="1">
      <c r="A87" s="7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69"/>
    </row>
    <row r="88" spans="1:22" ht="12.95" customHeight="1">
      <c r="A88" s="7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75"/>
    </row>
    <row r="89" spans="1:22" ht="12.95" customHeight="1">
      <c r="A89" s="7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69"/>
    </row>
    <row r="90" spans="1:22" ht="12.95" customHeight="1">
      <c r="A90" s="7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69"/>
    </row>
    <row r="91" spans="1:22" ht="12.95" customHeight="1">
      <c r="A91" s="7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69"/>
    </row>
    <row r="92" spans="1:22" ht="12.95" customHeight="1">
      <c r="A92" s="7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73"/>
    </row>
    <row r="93" spans="1:22" ht="12.95" customHeight="1">
      <c r="A93" s="7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73"/>
    </row>
    <row r="94" spans="1:22" ht="12.95" customHeight="1">
      <c r="A94" s="7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73"/>
    </row>
    <row r="95" spans="1:22" ht="12.95" customHeight="1">
      <c r="A95" s="7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73"/>
    </row>
    <row r="96" spans="1:22" ht="12.95" customHeight="1">
      <c r="A96" s="7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69"/>
    </row>
    <row r="97" spans="1:22" ht="12.95" customHeight="1">
      <c r="A97" s="7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69"/>
    </row>
    <row r="98" spans="1:22" ht="12.95" customHeight="1">
      <c r="A98" s="7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69"/>
    </row>
    <row r="99" spans="1:22" ht="12.95" customHeight="1">
      <c r="A99" s="7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69"/>
    </row>
    <row r="100" spans="1:22" ht="12.95" customHeight="1">
      <c r="A100" s="7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69"/>
    </row>
    <row r="101" spans="1:22" ht="12.95" customHeight="1">
      <c r="A101" s="7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69"/>
    </row>
    <row r="102" spans="1:22" ht="12.95" customHeight="1">
      <c r="A102" s="7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69"/>
    </row>
    <row r="103" spans="1:22" ht="12.95" customHeight="1">
      <c r="A103" s="7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69"/>
    </row>
    <row r="104" spans="1:22" ht="12.95" customHeight="1">
      <c r="A104" s="7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69"/>
    </row>
    <row r="105" spans="1:22" ht="12.95" customHeight="1">
      <c r="A105" s="77"/>
      <c r="B105" s="37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69"/>
    </row>
    <row r="106" spans="1:22" ht="12.95" customHeight="1">
      <c r="A106" s="77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69"/>
    </row>
    <row r="107" spans="1:22" ht="12.95" customHeight="1">
      <c r="A107" s="77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69"/>
    </row>
    <row r="108" spans="1:22" ht="12.95" customHeight="1">
      <c r="A108" s="77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69"/>
    </row>
    <row r="109" spans="1:22" ht="12.95" customHeight="1">
      <c r="A109" s="77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69"/>
    </row>
    <row r="110" spans="1:22" ht="12.95" customHeight="1">
      <c r="A110" s="77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69"/>
    </row>
    <row r="111" spans="1:22" ht="12.95" customHeight="1">
      <c r="A111" s="77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69"/>
    </row>
    <row r="112" spans="1:22" ht="12.95" customHeight="1">
      <c r="A112" s="77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69"/>
    </row>
    <row r="113" spans="1:22" ht="12.95" customHeight="1">
      <c r="A113" s="77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69"/>
    </row>
    <row r="114" spans="1:22" ht="12.95" customHeight="1">
      <c r="A114" s="77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69"/>
    </row>
    <row r="115" spans="1:22" ht="12.95" customHeight="1">
      <c r="V115" s="69"/>
    </row>
    <row r="116" spans="1:22" ht="12.95" customHeight="1">
      <c r="V116" s="69"/>
    </row>
    <row r="117" spans="1:22" ht="12.95" customHeight="1">
      <c r="V117" s="69"/>
    </row>
    <row r="118" spans="1:22" ht="12.95" customHeight="1">
      <c r="V118" s="69"/>
    </row>
    <row r="119" spans="1:22" ht="12.95" customHeight="1">
      <c r="V119" s="69"/>
    </row>
    <row r="120" spans="1:22" ht="12.95" customHeight="1">
      <c r="V120" s="69"/>
    </row>
    <row r="121" spans="1:22" ht="12.95" customHeight="1">
      <c r="V121" s="69"/>
    </row>
    <row r="122" spans="1:22" ht="12.95" customHeight="1">
      <c r="V122" s="69"/>
    </row>
    <row r="123" spans="1:22" ht="12.95" customHeight="1">
      <c r="V123" s="69"/>
    </row>
    <row r="124" spans="1:22" ht="12.95" customHeight="1">
      <c r="V124" s="69"/>
    </row>
    <row r="125" spans="1:22" ht="12.95" customHeight="1">
      <c r="V125" s="69"/>
    </row>
    <row r="126" spans="1:22" ht="12.95" customHeight="1">
      <c r="V126" s="69"/>
    </row>
    <row r="127" spans="1:22" ht="12.95" customHeight="1">
      <c r="V127" s="69"/>
    </row>
    <row r="128" spans="1:22" ht="12.95" customHeight="1">
      <c r="V128" s="69"/>
    </row>
    <row r="129" spans="22:22" ht="12.95" customHeight="1">
      <c r="V129" s="69"/>
    </row>
    <row r="130" spans="22:22" ht="12.95" customHeight="1">
      <c r="V130" s="69"/>
    </row>
    <row r="131" spans="22:22" ht="12.95" customHeight="1">
      <c r="V131" s="69"/>
    </row>
    <row r="132" spans="22:22" ht="12.95" customHeight="1">
      <c r="V132" s="69"/>
    </row>
    <row r="133" spans="22:22" ht="12.95" customHeight="1">
      <c r="V133" s="69"/>
    </row>
  </sheetData>
  <mergeCells count="10">
    <mergeCell ref="T7:U9"/>
    <mergeCell ref="B7:C9"/>
    <mergeCell ref="D7:E9"/>
    <mergeCell ref="F7:G9"/>
    <mergeCell ref="H7:I9"/>
    <mergeCell ref="J7:K9"/>
    <mergeCell ref="L7:M9"/>
    <mergeCell ref="N7:O9"/>
    <mergeCell ref="P7:Q9"/>
    <mergeCell ref="R7:S9"/>
  </mergeCells>
  <phoneticPr fontId="2" type="noConversion"/>
  <pageMargins left="0.28999999999999998" right="0.3" top="0.67" bottom="0.82677165354330717" header="0.51181102362204722" footer="0.51181102362204722"/>
  <pageSetup paperSize="9" scale="58" orientation="landscape" r:id="rId1"/>
  <headerFooter alignWithMargins="0">
    <oddFooter>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zoomScaleNormal="100" workbookViewId="0">
      <pane xSplit="1" ySplit="9" topLeftCell="B19" activePane="bottomRight" state="frozen"/>
      <selection activeCell="P22" sqref="P22"/>
      <selection pane="topRight" activeCell="P22" sqref="P22"/>
      <selection pane="bottomLeft" activeCell="P22" sqref="P22"/>
      <selection pane="bottomRight" activeCell="B11" sqref="B11:K38"/>
    </sheetView>
  </sheetViews>
  <sheetFormatPr defaultColWidth="8.77734375" defaultRowHeight="12.95" customHeight="1"/>
  <cols>
    <col min="1" max="1" width="14.77734375" style="64" customWidth="1"/>
    <col min="2" max="9" width="11.77734375" style="59" customWidth="1"/>
    <col min="10" max="11" width="11.77734375" style="57" customWidth="1"/>
    <col min="12" max="12" width="2.6640625" style="57" bestFit="1" customWidth="1"/>
    <col min="13" max="16384" width="8.77734375" style="14"/>
  </cols>
  <sheetData>
    <row r="1" spans="1:12" ht="15" customHeight="1">
      <c r="J1" s="59"/>
      <c r="K1" s="59"/>
    </row>
    <row r="2" spans="1:12" ht="15" customHeight="1">
      <c r="A2" s="70" t="s">
        <v>172</v>
      </c>
      <c r="J2" s="59"/>
    </row>
    <row r="3" spans="1:12" s="63" customFormat="1" ht="15" customHeight="1">
      <c r="A3" s="61" t="s">
        <v>242</v>
      </c>
      <c r="B3" s="62"/>
      <c r="C3" s="62"/>
      <c r="D3" s="62"/>
      <c r="E3" s="62"/>
      <c r="F3" s="62"/>
      <c r="G3" s="62"/>
      <c r="H3" s="62"/>
      <c r="I3" s="62"/>
      <c r="J3" s="62"/>
      <c r="L3" s="56"/>
    </row>
    <row r="4" spans="1:12" ht="15" customHeight="1">
      <c r="A4" s="91"/>
    </row>
    <row r="5" spans="1:12" ht="15" customHeight="1">
      <c r="A5" s="79"/>
    </row>
    <row r="6" spans="1:12" ht="15" customHeight="1" thickBot="1">
      <c r="A6" s="177" t="str">
        <f>'I-2'!A6</f>
        <v>2023. 1. 1. - 2023. 11. 30.</v>
      </c>
      <c r="B6" s="263"/>
      <c r="C6" s="263"/>
      <c r="D6" s="284"/>
      <c r="E6" s="284"/>
      <c r="F6" s="284"/>
      <c r="G6" s="284"/>
      <c r="H6" s="284"/>
      <c r="I6" s="263"/>
      <c r="J6" s="307"/>
      <c r="K6" s="178" t="s">
        <v>174</v>
      </c>
    </row>
    <row r="7" spans="1:12" ht="15" customHeight="1">
      <c r="A7" s="344"/>
      <c r="B7" s="604" t="s">
        <v>138</v>
      </c>
      <c r="C7" s="605"/>
      <c r="D7" s="605"/>
      <c r="E7" s="605"/>
      <c r="F7" s="605"/>
      <c r="G7" s="606"/>
      <c r="H7" s="499" t="s">
        <v>182</v>
      </c>
      <c r="I7" s="526"/>
      <c r="J7" s="499" t="s">
        <v>181</v>
      </c>
      <c r="K7" s="530"/>
    </row>
    <row r="8" spans="1:12" ht="15" customHeight="1">
      <c r="A8" s="299"/>
      <c r="B8" s="601" t="s">
        <v>135</v>
      </c>
      <c r="C8" s="644"/>
      <c r="D8" s="504" t="s">
        <v>139</v>
      </c>
      <c r="E8" s="529"/>
      <c r="F8" s="504" t="s">
        <v>33</v>
      </c>
      <c r="G8" s="529"/>
      <c r="H8" s="500"/>
      <c r="I8" s="527"/>
      <c r="J8" s="500"/>
      <c r="K8" s="531"/>
    </row>
    <row r="9" spans="1:12" ht="15" customHeight="1">
      <c r="A9" s="300"/>
      <c r="B9" s="341" t="s">
        <v>175</v>
      </c>
      <c r="C9" s="341" t="s">
        <v>176</v>
      </c>
      <c r="D9" s="341" t="s">
        <v>175</v>
      </c>
      <c r="E9" s="341" t="s">
        <v>176</v>
      </c>
      <c r="F9" s="341" t="s">
        <v>175</v>
      </c>
      <c r="G9" s="341" t="s">
        <v>176</v>
      </c>
      <c r="H9" s="341" t="s">
        <v>175</v>
      </c>
      <c r="I9" s="341" t="s">
        <v>176</v>
      </c>
      <c r="J9" s="341" t="s">
        <v>175</v>
      </c>
      <c r="K9" s="343" t="s">
        <v>176</v>
      </c>
    </row>
    <row r="10" spans="1:12" ht="15" customHeight="1">
      <c r="A10" s="285"/>
      <c r="B10" s="287"/>
      <c r="C10" s="288"/>
      <c r="D10" s="282"/>
      <c r="E10" s="288"/>
      <c r="F10" s="282"/>
      <c r="G10" s="288"/>
      <c r="H10" s="282"/>
      <c r="I10" s="288"/>
      <c r="J10" s="345"/>
      <c r="K10" s="309"/>
    </row>
    <row r="11" spans="1:12" ht="15" customHeight="1">
      <c r="A11" s="289" t="s">
        <v>3</v>
      </c>
      <c r="B11" s="291">
        <v>809099</v>
      </c>
      <c r="C11" s="292">
        <v>22496756</v>
      </c>
      <c r="D11" s="291">
        <v>54749</v>
      </c>
      <c r="E11" s="292">
        <v>3249156</v>
      </c>
      <c r="F11" s="291">
        <v>863848</v>
      </c>
      <c r="G11" s="292">
        <v>25745912</v>
      </c>
      <c r="H11" s="291">
        <v>396963</v>
      </c>
      <c r="I11" s="292">
        <v>1221686</v>
      </c>
      <c r="J11" s="364">
        <v>4377</v>
      </c>
      <c r="K11" s="430">
        <v>148097</v>
      </c>
    </row>
    <row r="12" spans="1:12" ht="15" customHeight="1">
      <c r="A12" s="289" t="s">
        <v>4</v>
      </c>
      <c r="B12" s="291">
        <v>113011</v>
      </c>
      <c r="C12" s="292">
        <v>2576071</v>
      </c>
      <c r="D12" s="291">
        <v>21953</v>
      </c>
      <c r="E12" s="292">
        <v>993644</v>
      </c>
      <c r="F12" s="291">
        <v>134964</v>
      </c>
      <c r="G12" s="292">
        <v>3569715</v>
      </c>
      <c r="H12" s="291">
        <v>735415</v>
      </c>
      <c r="I12" s="292">
        <v>6776625</v>
      </c>
      <c r="J12" s="364">
        <v>0</v>
      </c>
      <c r="K12" s="430">
        <v>0</v>
      </c>
    </row>
    <row r="13" spans="1:12" ht="15" customHeight="1">
      <c r="A13" s="289" t="s">
        <v>5</v>
      </c>
      <c r="B13" s="291">
        <v>1126625</v>
      </c>
      <c r="C13" s="292">
        <v>27076665</v>
      </c>
      <c r="D13" s="291">
        <v>103279</v>
      </c>
      <c r="E13" s="292">
        <v>5237145</v>
      </c>
      <c r="F13" s="291">
        <v>1229904</v>
      </c>
      <c r="G13" s="292">
        <v>32313810</v>
      </c>
      <c r="H13" s="291">
        <v>879361</v>
      </c>
      <c r="I13" s="292">
        <v>6868315</v>
      </c>
      <c r="J13" s="364">
        <v>217811</v>
      </c>
      <c r="K13" s="430">
        <v>154386</v>
      </c>
    </row>
    <row r="14" spans="1:12" ht="15" customHeight="1">
      <c r="A14" s="289" t="s">
        <v>6</v>
      </c>
      <c r="B14" s="291">
        <v>216355</v>
      </c>
      <c r="C14" s="292">
        <v>1267412</v>
      </c>
      <c r="D14" s="291">
        <v>5199</v>
      </c>
      <c r="E14" s="292">
        <v>318415</v>
      </c>
      <c r="F14" s="291">
        <v>221554</v>
      </c>
      <c r="G14" s="292">
        <v>1585827</v>
      </c>
      <c r="H14" s="291">
        <v>870</v>
      </c>
      <c r="I14" s="292">
        <v>9531</v>
      </c>
      <c r="J14" s="364">
        <v>14447</v>
      </c>
      <c r="K14" s="430">
        <v>585588</v>
      </c>
    </row>
    <row r="15" spans="1:12" ht="15" customHeight="1">
      <c r="A15" s="289" t="s">
        <v>7</v>
      </c>
      <c r="B15" s="291">
        <v>442257</v>
      </c>
      <c r="C15" s="292">
        <v>16299506</v>
      </c>
      <c r="D15" s="291">
        <v>112197</v>
      </c>
      <c r="E15" s="292">
        <v>6849595</v>
      </c>
      <c r="F15" s="291">
        <v>554454</v>
      </c>
      <c r="G15" s="292">
        <v>23149101</v>
      </c>
      <c r="H15" s="291">
        <v>674669</v>
      </c>
      <c r="I15" s="292">
        <v>12444930</v>
      </c>
      <c r="J15" s="364">
        <v>2005765</v>
      </c>
      <c r="K15" s="430">
        <v>1970491</v>
      </c>
    </row>
    <row r="16" spans="1:12" ht="15" customHeight="1">
      <c r="A16" s="289" t="s">
        <v>8</v>
      </c>
      <c r="B16" s="291">
        <v>42601</v>
      </c>
      <c r="C16" s="292">
        <v>1414163</v>
      </c>
      <c r="D16" s="291">
        <v>9947</v>
      </c>
      <c r="E16" s="292">
        <v>549459</v>
      </c>
      <c r="F16" s="291">
        <v>52548</v>
      </c>
      <c r="G16" s="292">
        <v>1963622</v>
      </c>
      <c r="H16" s="291">
        <v>219109</v>
      </c>
      <c r="I16" s="292">
        <v>1112379</v>
      </c>
      <c r="J16" s="364">
        <v>0</v>
      </c>
      <c r="K16" s="430">
        <v>0</v>
      </c>
    </row>
    <row r="17" spans="1:12" ht="15" customHeight="1">
      <c r="A17" s="289" t="s">
        <v>9</v>
      </c>
      <c r="B17" s="291">
        <v>100709</v>
      </c>
      <c r="C17" s="292">
        <v>3729750</v>
      </c>
      <c r="D17" s="291">
        <v>7293</v>
      </c>
      <c r="E17" s="292">
        <v>492862</v>
      </c>
      <c r="F17" s="291">
        <v>108002</v>
      </c>
      <c r="G17" s="292">
        <v>4222612</v>
      </c>
      <c r="H17" s="291">
        <v>685</v>
      </c>
      <c r="I17" s="292">
        <v>20957</v>
      </c>
      <c r="J17" s="364">
        <v>78638</v>
      </c>
      <c r="K17" s="430">
        <v>577244</v>
      </c>
    </row>
    <row r="18" spans="1:12" ht="15" customHeight="1">
      <c r="A18" s="289" t="s">
        <v>10</v>
      </c>
      <c r="B18" s="291">
        <v>53739</v>
      </c>
      <c r="C18" s="292">
        <v>1686988</v>
      </c>
      <c r="D18" s="291">
        <v>13444</v>
      </c>
      <c r="E18" s="292">
        <v>717889</v>
      </c>
      <c r="F18" s="291">
        <v>67183</v>
      </c>
      <c r="G18" s="292">
        <v>2404877</v>
      </c>
      <c r="H18" s="291">
        <v>11527</v>
      </c>
      <c r="I18" s="292">
        <v>75126</v>
      </c>
      <c r="J18" s="364">
        <v>0</v>
      </c>
      <c r="K18" s="430">
        <v>0</v>
      </c>
    </row>
    <row r="19" spans="1:12" ht="15" customHeight="1">
      <c r="A19" s="289" t="s">
        <v>11</v>
      </c>
      <c r="B19" s="291">
        <v>154962</v>
      </c>
      <c r="C19" s="292">
        <v>3660185</v>
      </c>
      <c r="D19" s="291">
        <v>160</v>
      </c>
      <c r="E19" s="292">
        <v>6620</v>
      </c>
      <c r="F19" s="291">
        <v>155122</v>
      </c>
      <c r="G19" s="292">
        <v>3666805</v>
      </c>
      <c r="H19" s="291">
        <v>0</v>
      </c>
      <c r="I19" s="292">
        <v>0</v>
      </c>
      <c r="J19" s="364">
        <v>6823</v>
      </c>
      <c r="K19" s="430">
        <v>55825</v>
      </c>
    </row>
    <row r="20" spans="1:12" ht="15" customHeight="1">
      <c r="A20" s="289" t="s">
        <v>12</v>
      </c>
      <c r="B20" s="294">
        <v>430637</v>
      </c>
      <c r="C20" s="295">
        <v>5843610</v>
      </c>
      <c r="D20" s="294">
        <v>22564</v>
      </c>
      <c r="E20" s="295">
        <v>886446</v>
      </c>
      <c r="F20" s="294">
        <v>453201</v>
      </c>
      <c r="G20" s="295">
        <v>6730056</v>
      </c>
      <c r="H20" s="294">
        <v>0</v>
      </c>
      <c r="I20" s="295">
        <v>0</v>
      </c>
      <c r="J20" s="364">
        <v>13883</v>
      </c>
      <c r="K20" s="430">
        <v>13906</v>
      </c>
    </row>
    <row r="21" spans="1:12" ht="15" customHeight="1">
      <c r="A21" s="289" t="s">
        <v>13</v>
      </c>
      <c r="B21" s="294">
        <v>110587</v>
      </c>
      <c r="C21" s="295">
        <v>4783434</v>
      </c>
      <c r="D21" s="294">
        <v>14094</v>
      </c>
      <c r="E21" s="295">
        <v>785113</v>
      </c>
      <c r="F21" s="294">
        <v>124681</v>
      </c>
      <c r="G21" s="295">
        <v>5568547</v>
      </c>
      <c r="H21" s="294">
        <v>0</v>
      </c>
      <c r="I21" s="295">
        <v>0</v>
      </c>
      <c r="J21" s="364">
        <v>0</v>
      </c>
      <c r="K21" s="430">
        <v>0</v>
      </c>
    </row>
    <row r="22" spans="1:12" ht="15" customHeight="1">
      <c r="A22" s="289" t="s">
        <v>36</v>
      </c>
      <c r="B22" s="291">
        <v>122094</v>
      </c>
      <c r="C22" s="292">
        <v>4954777</v>
      </c>
      <c r="D22" s="291">
        <v>13509</v>
      </c>
      <c r="E22" s="292">
        <v>995804</v>
      </c>
      <c r="F22" s="291">
        <v>135603</v>
      </c>
      <c r="G22" s="292">
        <v>5950580</v>
      </c>
      <c r="H22" s="291">
        <v>21295</v>
      </c>
      <c r="I22" s="292">
        <v>27607</v>
      </c>
      <c r="J22" s="364">
        <v>2</v>
      </c>
      <c r="K22" s="430">
        <v>16849</v>
      </c>
    </row>
    <row r="23" spans="1:12" s="16" customFormat="1" ht="15" customHeight="1">
      <c r="A23" s="296" t="s">
        <v>37</v>
      </c>
      <c r="B23" s="291">
        <v>541057</v>
      </c>
      <c r="C23" s="292">
        <v>15860148</v>
      </c>
      <c r="D23" s="291">
        <v>4353</v>
      </c>
      <c r="E23" s="292">
        <v>1989</v>
      </c>
      <c r="F23" s="291">
        <v>545410</v>
      </c>
      <c r="G23" s="292">
        <v>15862137</v>
      </c>
      <c r="H23" s="291">
        <v>4016</v>
      </c>
      <c r="I23" s="292">
        <v>95834</v>
      </c>
      <c r="J23" s="368">
        <v>27966</v>
      </c>
      <c r="K23" s="431">
        <v>495373</v>
      </c>
      <c r="L23" s="85"/>
    </row>
    <row r="24" spans="1:12" ht="15" customHeight="1">
      <c r="A24" s="289" t="s">
        <v>14</v>
      </c>
      <c r="B24" s="291">
        <v>4946</v>
      </c>
      <c r="C24" s="292">
        <v>130047</v>
      </c>
      <c r="D24" s="291">
        <v>1</v>
      </c>
      <c r="E24" s="292">
        <v>50</v>
      </c>
      <c r="F24" s="291">
        <v>4947</v>
      </c>
      <c r="G24" s="292">
        <v>130097</v>
      </c>
      <c r="H24" s="291">
        <v>3</v>
      </c>
      <c r="I24" s="292">
        <v>300</v>
      </c>
      <c r="J24" s="364">
        <v>0</v>
      </c>
      <c r="K24" s="430">
        <v>0</v>
      </c>
    </row>
    <row r="25" spans="1:12" ht="15" customHeight="1">
      <c r="A25" s="289" t="s">
        <v>15</v>
      </c>
      <c r="B25" s="291">
        <v>62920</v>
      </c>
      <c r="C25" s="292">
        <v>911222</v>
      </c>
      <c r="D25" s="291">
        <v>11209</v>
      </c>
      <c r="E25" s="292">
        <v>676596</v>
      </c>
      <c r="F25" s="291">
        <v>74129</v>
      </c>
      <c r="G25" s="292">
        <v>1587818</v>
      </c>
      <c r="H25" s="291">
        <v>224938</v>
      </c>
      <c r="I25" s="292">
        <v>225538</v>
      </c>
      <c r="J25" s="364">
        <v>1219</v>
      </c>
      <c r="K25" s="430">
        <v>299585</v>
      </c>
    </row>
    <row r="26" spans="1:12" ht="15" customHeight="1">
      <c r="A26" s="289" t="s">
        <v>16</v>
      </c>
      <c r="B26" s="291">
        <v>15388</v>
      </c>
      <c r="C26" s="292">
        <v>985639</v>
      </c>
      <c r="D26" s="291">
        <v>13547</v>
      </c>
      <c r="E26" s="292">
        <v>800290</v>
      </c>
      <c r="F26" s="291">
        <v>28935</v>
      </c>
      <c r="G26" s="292">
        <v>1785928</v>
      </c>
      <c r="H26" s="291">
        <v>18793</v>
      </c>
      <c r="I26" s="292">
        <v>255514</v>
      </c>
      <c r="J26" s="368">
        <v>0</v>
      </c>
      <c r="K26" s="430">
        <v>0</v>
      </c>
    </row>
    <row r="27" spans="1:12" ht="15" customHeight="1">
      <c r="A27" s="289" t="s">
        <v>17</v>
      </c>
      <c r="B27" s="291">
        <v>1040221</v>
      </c>
      <c r="C27" s="292">
        <v>1258327</v>
      </c>
      <c r="D27" s="291">
        <v>23554</v>
      </c>
      <c r="E27" s="292">
        <v>1240023</v>
      </c>
      <c r="F27" s="291">
        <v>1063775</v>
      </c>
      <c r="G27" s="292">
        <v>2498351</v>
      </c>
      <c r="H27" s="291">
        <v>153192</v>
      </c>
      <c r="I27" s="292">
        <v>4112665</v>
      </c>
      <c r="J27" s="364">
        <v>4956</v>
      </c>
      <c r="K27" s="430">
        <v>65274</v>
      </c>
    </row>
    <row r="28" spans="1:12" ht="15" customHeight="1">
      <c r="A28" s="289" t="s">
        <v>18</v>
      </c>
      <c r="B28" s="291">
        <v>873574</v>
      </c>
      <c r="C28" s="292">
        <v>11020713</v>
      </c>
      <c r="D28" s="291">
        <v>0</v>
      </c>
      <c r="E28" s="292">
        <v>0</v>
      </c>
      <c r="F28" s="291">
        <v>873574</v>
      </c>
      <c r="G28" s="292">
        <v>11020713</v>
      </c>
      <c r="H28" s="291">
        <v>0</v>
      </c>
      <c r="I28" s="292">
        <v>0</v>
      </c>
      <c r="J28" s="364">
        <v>0</v>
      </c>
      <c r="K28" s="430">
        <v>0</v>
      </c>
    </row>
    <row r="29" spans="1:12" ht="15" customHeight="1">
      <c r="A29" s="289" t="s">
        <v>19</v>
      </c>
      <c r="B29" s="291">
        <v>337414</v>
      </c>
      <c r="C29" s="292">
        <v>13579007</v>
      </c>
      <c r="D29" s="291">
        <v>4823</v>
      </c>
      <c r="E29" s="292">
        <v>539161</v>
      </c>
      <c r="F29" s="291">
        <v>342237</v>
      </c>
      <c r="G29" s="292">
        <v>14118168</v>
      </c>
      <c r="H29" s="291">
        <v>16927</v>
      </c>
      <c r="I29" s="292">
        <v>3363866</v>
      </c>
      <c r="J29" s="364">
        <v>0</v>
      </c>
      <c r="K29" s="430">
        <v>0</v>
      </c>
    </row>
    <row r="30" spans="1:12" ht="15" customHeight="1">
      <c r="A30" s="289" t="s">
        <v>20</v>
      </c>
      <c r="B30" s="291">
        <v>0</v>
      </c>
      <c r="C30" s="292">
        <v>0</v>
      </c>
      <c r="D30" s="291">
        <v>20762</v>
      </c>
      <c r="E30" s="292">
        <v>1123283</v>
      </c>
      <c r="F30" s="291">
        <v>20762</v>
      </c>
      <c r="G30" s="292">
        <v>1123283</v>
      </c>
      <c r="H30" s="291">
        <v>0</v>
      </c>
      <c r="I30" s="292">
        <v>0</v>
      </c>
      <c r="J30" s="364">
        <v>1175</v>
      </c>
      <c r="K30" s="430">
        <v>51213</v>
      </c>
    </row>
    <row r="31" spans="1:12" ht="15" customHeight="1">
      <c r="A31" s="289" t="s">
        <v>21</v>
      </c>
      <c r="B31" s="291">
        <v>1087225</v>
      </c>
      <c r="C31" s="292">
        <v>12654199</v>
      </c>
      <c r="D31" s="291">
        <v>25550</v>
      </c>
      <c r="E31" s="292">
        <v>1022907</v>
      </c>
      <c r="F31" s="291">
        <v>1112775</v>
      </c>
      <c r="G31" s="292">
        <v>13677105</v>
      </c>
      <c r="H31" s="291">
        <v>0</v>
      </c>
      <c r="I31" s="292">
        <v>0</v>
      </c>
      <c r="J31" s="364">
        <v>0</v>
      </c>
      <c r="K31" s="430">
        <v>0</v>
      </c>
    </row>
    <row r="32" spans="1:12" ht="15" customHeight="1">
      <c r="A32" s="289" t="s">
        <v>22</v>
      </c>
      <c r="B32" s="291">
        <v>12511</v>
      </c>
      <c r="C32" s="292">
        <v>686610</v>
      </c>
      <c r="D32" s="291">
        <v>2975</v>
      </c>
      <c r="E32" s="292">
        <v>133965</v>
      </c>
      <c r="F32" s="291">
        <v>15486</v>
      </c>
      <c r="G32" s="292">
        <v>820575</v>
      </c>
      <c r="H32" s="291">
        <v>159</v>
      </c>
      <c r="I32" s="292">
        <v>13900</v>
      </c>
      <c r="J32" s="364">
        <v>0</v>
      </c>
      <c r="K32" s="430">
        <v>0</v>
      </c>
    </row>
    <row r="33" spans="1:12" ht="15" customHeight="1">
      <c r="A33" s="289"/>
      <c r="B33" s="291" t="s">
        <v>2</v>
      </c>
      <c r="C33" s="292" t="s">
        <v>2</v>
      </c>
      <c r="D33" s="291" t="s">
        <v>2</v>
      </c>
      <c r="E33" s="292" t="s">
        <v>2</v>
      </c>
      <c r="F33" s="291" t="s">
        <v>2</v>
      </c>
      <c r="G33" s="292" t="s">
        <v>2</v>
      </c>
      <c r="H33" s="291" t="s">
        <v>2</v>
      </c>
      <c r="I33" s="292" t="s">
        <v>2</v>
      </c>
      <c r="J33" s="364" t="s">
        <v>2</v>
      </c>
      <c r="K33" s="430" t="s">
        <v>2</v>
      </c>
    </row>
    <row r="34" spans="1:12" ht="15" customHeight="1">
      <c r="A34" s="297" t="s">
        <v>0</v>
      </c>
      <c r="B34" s="424">
        <v>7697932</v>
      </c>
      <c r="C34" s="423">
        <v>152875230</v>
      </c>
      <c r="D34" s="424">
        <v>485162</v>
      </c>
      <c r="E34" s="423">
        <v>26620411</v>
      </c>
      <c r="F34" s="424">
        <v>8183094</v>
      </c>
      <c r="G34" s="423">
        <v>179495641</v>
      </c>
      <c r="H34" s="424">
        <v>3357922</v>
      </c>
      <c r="I34" s="423">
        <v>36624772</v>
      </c>
      <c r="J34" s="440">
        <v>2377062</v>
      </c>
      <c r="K34" s="441">
        <v>4433830</v>
      </c>
    </row>
    <row r="35" spans="1:12" ht="15" customHeight="1">
      <c r="A35" s="297"/>
      <c r="B35" s="424" t="s">
        <v>2</v>
      </c>
      <c r="C35" s="423" t="s">
        <v>2</v>
      </c>
      <c r="D35" s="424" t="s">
        <v>2</v>
      </c>
      <c r="E35" s="423" t="s">
        <v>2</v>
      </c>
      <c r="F35" s="424" t="s">
        <v>2</v>
      </c>
      <c r="G35" s="423" t="s">
        <v>2</v>
      </c>
      <c r="H35" s="424" t="s">
        <v>2</v>
      </c>
      <c r="I35" s="423" t="s">
        <v>2</v>
      </c>
      <c r="J35" s="440" t="s">
        <v>2</v>
      </c>
      <c r="K35" s="441" t="s">
        <v>2</v>
      </c>
    </row>
    <row r="36" spans="1:12" ht="15" customHeight="1">
      <c r="A36" s="456" t="str">
        <f>'I-2'!A37</f>
        <v>2023.10</v>
      </c>
      <c r="B36" s="291">
        <v>7022800</v>
      </c>
      <c r="C36" s="292">
        <v>140384170</v>
      </c>
      <c r="D36" s="291">
        <v>439115</v>
      </c>
      <c r="E36" s="292">
        <v>23910516</v>
      </c>
      <c r="F36" s="291">
        <v>7461915</v>
      </c>
      <c r="G36" s="292">
        <v>164294686</v>
      </c>
      <c r="H36" s="291">
        <v>3208787</v>
      </c>
      <c r="I36" s="292">
        <v>34823767</v>
      </c>
      <c r="J36" s="18">
        <v>2239828</v>
      </c>
      <c r="K36" s="457">
        <v>3978209</v>
      </c>
    </row>
    <row r="37" spans="1:12" ht="15" customHeight="1">
      <c r="A37" s="456" t="str">
        <f>'I-2'!A38</f>
        <v>2023.9</v>
      </c>
      <c r="B37" s="291">
        <v>6423630</v>
      </c>
      <c r="C37" s="292">
        <v>129215897</v>
      </c>
      <c r="D37" s="291">
        <v>403885</v>
      </c>
      <c r="E37" s="292">
        <v>22069902</v>
      </c>
      <c r="F37" s="291">
        <v>6827515</v>
      </c>
      <c r="G37" s="292">
        <v>151285799</v>
      </c>
      <c r="H37" s="291">
        <v>2961734</v>
      </c>
      <c r="I37" s="292">
        <v>30983953</v>
      </c>
      <c r="J37" s="18">
        <v>2082326</v>
      </c>
      <c r="K37" s="457">
        <v>3600247</v>
      </c>
    </row>
    <row r="38" spans="1:12" ht="15" customHeight="1">
      <c r="A38" s="456" t="str">
        <f>'I-2'!A39</f>
        <v>2023.8</v>
      </c>
      <c r="B38" s="291">
        <v>5821603</v>
      </c>
      <c r="C38" s="292">
        <v>117913443</v>
      </c>
      <c r="D38" s="291">
        <v>359119</v>
      </c>
      <c r="E38" s="292">
        <v>19489403</v>
      </c>
      <c r="F38" s="291">
        <v>6180722</v>
      </c>
      <c r="G38" s="292">
        <v>137402846</v>
      </c>
      <c r="H38" s="291">
        <v>2725540</v>
      </c>
      <c r="I38" s="292">
        <v>28679062</v>
      </c>
      <c r="J38" s="18">
        <v>1774965</v>
      </c>
      <c r="K38" s="457">
        <v>3232803</v>
      </c>
    </row>
    <row r="39" spans="1:12" ht="15" customHeight="1" thickBot="1">
      <c r="A39" s="304"/>
      <c r="B39" s="268"/>
      <c r="C39" s="269"/>
      <c r="D39" s="268"/>
      <c r="E39" s="269"/>
      <c r="F39" s="268"/>
      <c r="G39" s="269"/>
      <c r="H39" s="268"/>
      <c r="I39" s="269"/>
      <c r="J39" s="346"/>
      <c r="K39" s="347"/>
    </row>
    <row r="40" spans="1:12" ht="15" customHeight="1">
      <c r="A40" s="176" t="s">
        <v>284</v>
      </c>
      <c r="B40" s="263"/>
      <c r="C40" s="263"/>
      <c r="D40" s="263"/>
      <c r="E40" s="263"/>
      <c r="F40" s="263"/>
      <c r="G40" s="263"/>
      <c r="H40" s="263"/>
      <c r="I40" s="263"/>
      <c r="J40" s="15"/>
      <c r="K40" s="15"/>
      <c r="L40" s="14"/>
    </row>
    <row r="41" spans="1:12" ht="15" customHeight="1">
      <c r="J41" s="14"/>
      <c r="K41" s="14"/>
      <c r="L41" s="14"/>
    </row>
    <row r="42" spans="1:12" ht="15" customHeight="1">
      <c r="J42" s="14"/>
      <c r="K42" s="14"/>
      <c r="L42" s="14"/>
    </row>
    <row r="43" spans="1:12" ht="15" customHeight="1"/>
  </sheetData>
  <mergeCells count="6">
    <mergeCell ref="B7:G7"/>
    <mergeCell ref="H7:I8"/>
    <mergeCell ref="J7:K8"/>
    <mergeCell ref="B8:C8"/>
    <mergeCell ref="D8:E8"/>
    <mergeCell ref="F8:G8"/>
  </mergeCells>
  <phoneticPr fontId="2" type="noConversion"/>
  <pageMargins left="0.68" right="0.43" top="0.87" bottom="0.57999999999999996" header="0.26" footer="0.37"/>
  <pageSetup paperSize="9" scale="90" orientation="landscape" r:id="rId1"/>
  <headerFooter alignWithMargins="0">
    <oddFooter>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4"/>
  <sheetViews>
    <sheetView zoomScaleNormal="100" workbookViewId="0">
      <pane xSplit="1" ySplit="9" topLeftCell="B13" activePane="bottomRight" state="frozen"/>
      <selection activeCell="P22" sqref="P22"/>
      <selection pane="topRight" activeCell="P22" sqref="P22"/>
      <selection pane="bottomLeft" activeCell="P22" sqref="P22"/>
      <selection pane="bottomRight" activeCell="B11" sqref="B11:K38"/>
    </sheetView>
  </sheetViews>
  <sheetFormatPr defaultColWidth="8.77734375" defaultRowHeight="12.95" customHeight="1"/>
  <cols>
    <col min="1" max="1" width="14.77734375" style="64" customWidth="1"/>
    <col min="2" max="2" width="11.77734375" style="59" customWidth="1"/>
    <col min="3" max="3" width="12.33203125" style="59" customWidth="1"/>
    <col min="4" max="6" width="11.77734375" style="59" customWidth="1"/>
    <col min="7" max="7" width="12.44140625" style="59" customWidth="1"/>
    <col min="8" max="9" width="11.77734375" style="59" customWidth="1"/>
    <col min="10" max="11" width="11.77734375" style="57" customWidth="1"/>
    <col min="12" max="12" width="2.6640625" style="57" bestFit="1" customWidth="1"/>
    <col min="13" max="16384" width="8.77734375" style="14"/>
  </cols>
  <sheetData>
    <row r="1" spans="1:12" ht="15" customHeight="1">
      <c r="J1" s="59"/>
      <c r="K1" s="59"/>
    </row>
    <row r="2" spans="1:12" ht="15" customHeight="1">
      <c r="A2" s="70" t="s">
        <v>172</v>
      </c>
      <c r="J2" s="59"/>
    </row>
    <row r="3" spans="1:12" s="63" customFormat="1" ht="15" customHeight="1">
      <c r="A3" s="61" t="s">
        <v>183</v>
      </c>
      <c r="B3" s="62"/>
      <c r="C3" s="62"/>
      <c r="D3" s="62"/>
      <c r="E3" s="62"/>
      <c r="F3" s="62"/>
      <c r="G3" s="62"/>
      <c r="H3" s="62"/>
      <c r="I3" s="62"/>
      <c r="J3" s="62"/>
      <c r="L3" s="56"/>
    </row>
    <row r="4" spans="1:12" ht="15" customHeight="1">
      <c r="A4" s="91"/>
    </row>
    <row r="5" spans="1:12" ht="15" customHeight="1">
      <c r="A5" s="79"/>
    </row>
    <row r="6" spans="1:12" ht="15" customHeight="1" thickBot="1">
      <c r="A6" s="177" t="str">
        <f>'I-2'!A6</f>
        <v>2023. 1. 1. - 2023. 11. 30.</v>
      </c>
      <c r="B6" s="263"/>
      <c r="C6" s="263"/>
      <c r="D6" s="284"/>
      <c r="E6" s="284"/>
      <c r="F6" s="284"/>
      <c r="G6" s="284"/>
      <c r="H6" s="284"/>
      <c r="I6" s="263"/>
      <c r="J6" s="307"/>
      <c r="K6" s="178" t="s">
        <v>174</v>
      </c>
    </row>
    <row r="7" spans="1:12" ht="15" customHeight="1">
      <c r="A7" s="344"/>
      <c r="B7" s="604" t="s">
        <v>138</v>
      </c>
      <c r="C7" s="605"/>
      <c r="D7" s="605"/>
      <c r="E7" s="605"/>
      <c r="F7" s="605"/>
      <c r="G7" s="606"/>
      <c r="H7" s="499" t="s">
        <v>182</v>
      </c>
      <c r="I7" s="526"/>
      <c r="J7" s="499" t="s">
        <v>181</v>
      </c>
      <c r="K7" s="530"/>
    </row>
    <row r="8" spans="1:12" ht="15" customHeight="1">
      <c r="A8" s="299"/>
      <c r="B8" s="601" t="s">
        <v>135</v>
      </c>
      <c r="C8" s="644"/>
      <c r="D8" s="504" t="s">
        <v>139</v>
      </c>
      <c r="E8" s="529"/>
      <c r="F8" s="504" t="s">
        <v>33</v>
      </c>
      <c r="G8" s="529"/>
      <c r="H8" s="500"/>
      <c r="I8" s="527"/>
      <c r="J8" s="500"/>
      <c r="K8" s="531"/>
    </row>
    <row r="9" spans="1:12" ht="15" customHeight="1">
      <c r="A9" s="300"/>
      <c r="B9" s="341" t="s">
        <v>175</v>
      </c>
      <c r="C9" s="341" t="s">
        <v>176</v>
      </c>
      <c r="D9" s="341" t="s">
        <v>175</v>
      </c>
      <c r="E9" s="341" t="s">
        <v>176</v>
      </c>
      <c r="F9" s="341" t="s">
        <v>175</v>
      </c>
      <c r="G9" s="341" t="s">
        <v>176</v>
      </c>
      <c r="H9" s="341" t="s">
        <v>175</v>
      </c>
      <c r="I9" s="341" t="s">
        <v>176</v>
      </c>
      <c r="J9" s="341" t="s">
        <v>175</v>
      </c>
      <c r="K9" s="343" t="s">
        <v>176</v>
      </c>
    </row>
    <row r="10" spans="1:12" ht="15" customHeight="1">
      <c r="A10" s="285"/>
      <c r="B10" s="287"/>
      <c r="C10" s="288"/>
      <c r="D10" s="282"/>
      <c r="E10" s="288"/>
      <c r="F10" s="282"/>
      <c r="G10" s="288"/>
      <c r="H10" s="282"/>
      <c r="I10" s="288"/>
      <c r="J10" s="345"/>
      <c r="K10" s="309"/>
    </row>
    <row r="11" spans="1:12" ht="15" customHeight="1">
      <c r="A11" s="289" t="s">
        <v>3</v>
      </c>
      <c r="B11" s="291">
        <v>8236200</v>
      </c>
      <c r="C11" s="292">
        <v>251529026</v>
      </c>
      <c r="D11" s="291">
        <v>1500800</v>
      </c>
      <c r="E11" s="292">
        <v>46697914</v>
      </c>
      <c r="F11" s="291">
        <v>9737000</v>
      </c>
      <c r="G11" s="292">
        <v>298226941</v>
      </c>
      <c r="H11" s="291">
        <v>479749</v>
      </c>
      <c r="I11" s="292">
        <v>2433437</v>
      </c>
      <c r="J11" s="291">
        <v>1280403</v>
      </c>
      <c r="K11" s="436">
        <v>7969306</v>
      </c>
    </row>
    <row r="12" spans="1:12" ht="15" customHeight="1">
      <c r="A12" s="289" t="s">
        <v>4</v>
      </c>
      <c r="B12" s="291">
        <v>1335598</v>
      </c>
      <c r="C12" s="292">
        <v>35695688</v>
      </c>
      <c r="D12" s="291">
        <v>365719</v>
      </c>
      <c r="E12" s="292">
        <v>10909320</v>
      </c>
      <c r="F12" s="291">
        <v>1701317</v>
      </c>
      <c r="G12" s="292">
        <v>46605007</v>
      </c>
      <c r="H12" s="291">
        <v>612588</v>
      </c>
      <c r="I12" s="292">
        <v>6070417</v>
      </c>
      <c r="J12" s="291">
        <v>6738</v>
      </c>
      <c r="K12" s="436">
        <v>2655</v>
      </c>
    </row>
    <row r="13" spans="1:12" ht="15" customHeight="1">
      <c r="A13" s="289" t="s">
        <v>5</v>
      </c>
      <c r="B13" s="291">
        <v>13475389</v>
      </c>
      <c r="C13" s="292">
        <v>470637272</v>
      </c>
      <c r="D13" s="291">
        <v>2632856</v>
      </c>
      <c r="E13" s="292">
        <v>97631191</v>
      </c>
      <c r="F13" s="291">
        <v>16108245</v>
      </c>
      <c r="G13" s="292">
        <v>568268463</v>
      </c>
      <c r="H13" s="291">
        <v>1368036</v>
      </c>
      <c r="I13" s="292">
        <v>17662980</v>
      </c>
      <c r="J13" s="291">
        <v>1411779</v>
      </c>
      <c r="K13" s="436">
        <v>28309897</v>
      </c>
    </row>
    <row r="14" spans="1:12" ht="15" customHeight="1">
      <c r="A14" s="289" t="s">
        <v>6</v>
      </c>
      <c r="B14" s="291">
        <v>2294826</v>
      </c>
      <c r="C14" s="292">
        <v>53752251</v>
      </c>
      <c r="D14" s="291">
        <v>307268</v>
      </c>
      <c r="E14" s="292">
        <v>9031217</v>
      </c>
      <c r="F14" s="291">
        <v>2602094</v>
      </c>
      <c r="G14" s="292">
        <v>62783468</v>
      </c>
      <c r="H14" s="291">
        <v>4894</v>
      </c>
      <c r="I14" s="292">
        <v>128001</v>
      </c>
      <c r="J14" s="291">
        <v>257343</v>
      </c>
      <c r="K14" s="436">
        <v>3763017</v>
      </c>
    </row>
    <row r="15" spans="1:12" ht="15" customHeight="1">
      <c r="A15" s="289" t="s">
        <v>7</v>
      </c>
      <c r="B15" s="291">
        <v>5988568</v>
      </c>
      <c r="C15" s="292">
        <v>219370837</v>
      </c>
      <c r="D15" s="291">
        <v>1517701</v>
      </c>
      <c r="E15" s="292">
        <v>54207913</v>
      </c>
      <c r="F15" s="291">
        <v>7506269</v>
      </c>
      <c r="G15" s="292">
        <v>273578750</v>
      </c>
      <c r="H15" s="291">
        <v>831939</v>
      </c>
      <c r="I15" s="292">
        <v>19114206</v>
      </c>
      <c r="J15" s="291">
        <v>1030605</v>
      </c>
      <c r="K15" s="436">
        <v>11686628</v>
      </c>
    </row>
    <row r="16" spans="1:12" ht="15" customHeight="1">
      <c r="A16" s="289" t="s">
        <v>8</v>
      </c>
      <c r="B16" s="291">
        <v>406791</v>
      </c>
      <c r="C16" s="292">
        <v>10861379</v>
      </c>
      <c r="D16" s="291">
        <v>150402</v>
      </c>
      <c r="E16" s="292">
        <v>4880148</v>
      </c>
      <c r="F16" s="291">
        <v>557193</v>
      </c>
      <c r="G16" s="292">
        <v>15741527</v>
      </c>
      <c r="H16" s="291">
        <v>16444</v>
      </c>
      <c r="I16" s="292">
        <v>310092</v>
      </c>
      <c r="J16" s="291">
        <v>29</v>
      </c>
      <c r="K16" s="436">
        <v>82</v>
      </c>
    </row>
    <row r="17" spans="1:12" ht="15" customHeight="1">
      <c r="A17" s="289" t="s">
        <v>9</v>
      </c>
      <c r="B17" s="291">
        <v>1834947</v>
      </c>
      <c r="C17" s="292">
        <v>62139670</v>
      </c>
      <c r="D17" s="291">
        <v>465456</v>
      </c>
      <c r="E17" s="292">
        <v>18155126</v>
      </c>
      <c r="F17" s="291">
        <v>2300403</v>
      </c>
      <c r="G17" s="292">
        <v>80294797</v>
      </c>
      <c r="H17" s="291">
        <v>22108</v>
      </c>
      <c r="I17" s="292">
        <v>598579</v>
      </c>
      <c r="J17" s="291">
        <v>680014</v>
      </c>
      <c r="K17" s="436">
        <v>3697953</v>
      </c>
    </row>
    <row r="18" spans="1:12" ht="15" customHeight="1">
      <c r="A18" s="289" t="s">
        <v>10</v>
      </c>
      <c r="B18" s="291">
        <v>1226601</v>
      </c>
      <c r="C18" s="292">
        <v>35369962</v>
      </c>
      <c r="D18" s="291">
        <v>413826</v>
      </c>
      <c r="E18" s="292">
        <v>11854382</v>
      </c>
      <c r="F18" s="291">
        <v>1640427</v>
      </c>
      <c r="G18" s="292">
        <v>47224344</v>
      </c>
      <c r="H18" s="291">
        <v>16044</v>
      </c>
      <c r="I18" s="292">
        <v>144002</v>
      </c>
      <c r="J18" s="291">
        <v>1456</v>
      </c>
      <c r="K18" s="436">
        <v>3699</v>
      </c>
    </row>
    <row r="19" spans="1:12" ht="15" customHeight="1">
      <c r="A19" s="289" t="s">
        <v>11</v>
      </c>
      <c r="B19" s="291">
        <v>1415631</v>
      </c>
      <c r="C19" s="292">
        <v>41965808</v>
      </c>
      <c r="D19" s="291">
        <v>75924</v>
      </c>
      <c r="E19" s="292">
        <v>2014454</v>
      </c>
      <c r="F19" s="291">
        <v>1491555</v>
      </c>
      <c r="G19" s="292">
        <v>43980263</v>
      </c>
      <c r="H19" s="291">
        <v>2501</v>
      </c>
      <c r="I19" s="292">
        <v>59114</v>
      </c>
      <c r="J19" s="291">
        <v>67374</v>
      </c>
      <c r="K19" s="436">
        <v>420622</v>
      </c>
    </row>
    <row r="20" spans="1:12" ht="15" customHeight="1">
      <c r="A20" s="289" t="s">
        <v>12</v>
      </c>
      <c r="B20" s="294">
        <v>3184021</v>
      </c>
      <c r="C20" s="295">
        <v>67567238</v>
      </c>
      <c r="D20" s="294">
        <v>598387</v>
      </c>
      <c r="E20" s="295">
        <v>17471754</v>
      </c>
      <c r="F20" s="294">
        <v>3782408</v>
      </c>
      <c r="G20" s="295">
        <v>85038992</v>
      </c>
      <c r="H20" s="294">
        <v>3982</v>
      </c>
      <c r="I20" s="295">
        <v>78081</v>
      </c>
      <c r="J20" s="294">
        <v>320993</v>
      </c>
      <c r="K20" s="437">
        <v>2730835</v>
      </c>
    </row>
    <row r="21" spans="1:12" ht="15" customHeight="1">
      <c r="A21" s="289" t="s">
        <v>13</v>
      </c>
      <c r="B21" s="294">
        <v>1270445</v>
      </c>
      <c r="C21" s="295">
        <v>59741236</v>
      </c>
      <c r="D21" s="294">
        <v>303951</v>
      </c>
      <c r="E21" s="295">
        <v>9526231</v>
      </c>
      <c r="F21" s="294">
        <v>1574396</v>
      </c>
      <c r="G21" s="295">
        <v>69267467</v>
      </c>
      <c r="H21" s="294">
        <v>70</v>
      </c>
      <c r="I21" s="295">
        <v>737</v>
      </c>
      <c r="J21" s="294">
        <v>37</v>
      </c>
      <c r="K21" s="437">
        <v>95</v>
      </c>
    </row>
    <row r="22" spans="1:12" ht="15" customHeight="1">
      <c r="A22" s="289" t="s">
        <v>36</v>
      </c>
      <c r="B22" s="291">
        <v>1341999</v>
      </c>
      <c r="C22" s="292">
        <v>68128816</v>
      </c>
      <c r="D22" s="291">
        <v>335730</v>
      </c>
      <c r="E22" s="292">
        <v>15880839</v>
      </c>
      <c r="F22" s="291">
        <v>1677729</v>
      </c>
      <c r="G22" s="292">
        <v>84009655</v>
      </c>
      <c r="H22" s="291">
        <v>27503</v>
      </c>
      <c r="I22" s="292">
        <v>30672</v>
      </c>
      <c r="J22" s="291">
        <v>8</v>
      </c>
      <c r="K22" s="436">
        <v>831117</v>
      </c>
    </row>
    <row r="23" spans="1:12" s="16" customFormat="1" ht="15" customHeight="1">
      <c r="A23" s="296" t="s">
        <v>37</v>
      </c>
      <c r="B23" s="291">
        <v>5677232</v>
      </c>
      <c r="C23" s="292">
        <v>162947123</v>
      </c>
      <c r="D23" s="291">
        <v>722160</v>
      </c>
      <c r="E23" s="292">
        <v>22166279</v>
      </c>
      <c r="F23" s="291">
        <v>6399392</v>
      </c>
      <c r="G23" s="292">
        <v>185113403</v>
      </c>
      <c r="H23" s="291">
        <v>7994</v>
      </c>
      <c r="I23" s="292">
        <v>198202</v>
      </c>
      <c r="J23" s="291">
        <v>230566</v>
      </c>
      <c r="K23" s="436">
        <v>2399153</v>
      </c>
      <c r="L23" s="85"/>
    </row>
    <row r="24" spans="1:12" ht="15" customHeight="1">
      <c r="A24" s="289" t="s">
        <v>14</v>
      </c>
      <c r="B24" s="291">
        <v>113389</v>
      </c>
      <c r="C24" s="292">
        <v>3779638</v>
      </c>
      <c r="D24" s="291">
        <v>18202</v>
      </c>
      <c r="E24" s="292">
        <v>510613</v>
      </c>
      <c r="F24" s="291">
        <v>131591</v>
      </c>
      <c r="G24" s="292">
        <v>4290251</v>
      </c>
      <c r="H24" s="291">
        <v>91</v>
      </c>
      <c r="I24" s="292">
        <v>9700</v>
      </c>
      <c r="J24" s="291">
        <v>0</v>
      </c>
      <c r="K24" s="436">
        <v>0</v>
      </c>
    </row>
    <row r="25" spans="1:12" ht="15" customHeight="1">
      <c r="A25" s="289" t="s">
        <v>15</v>
      </c>
      <c r="B25" s="291">
        <v>249095</v>
      </c>
      <c r="C25" s="292">
        <v>2780589</v>
      </c>
      <c r="D25" s="291">
        <v>95598</v>
      </c>
      <c r="E25" s="292">
        <v>4380400</v>
      </c>
      <c r="F25" s="291">
        <v>344693</v>
      </c>
      <c r="G25" s="292">
        <v>7160989</v>
      </c>
      <c r="H25" s="291">
        <v>187864</v>
      </c>
      <c r="I25" s="292">
        <v>237116</v>
      </c>
      <c r="J25" s="291">
        <v>8437</v>
      </c>
      <c r="K25" s="436">
        <v>962179</v>
      </c>
    </row>
    <row r="26" spans="1:12" ht="15" customHeight="1">
      <c r="A26" s="289" t="s">
        <v>16</v>
      </c>
      <c r="B26" s="291">
        <v>35358</v>
      </c>
      <c r="C26" s="292">
        <v>1618744</v>
      </c>
      <c r="D26" s="291">
        <v>60310</v>
      </c>
      <c r="E26" s="292">
        <v>2687931</v>
      </c>
      <c r="F26" s="291">
        <v>95668</v>
      </c>
      <c r="G26" s="292">
        <v>4306675</v>
      </c>
      <c r="H26" s="291">
        <v>10007</v>
      </c>
      <c r="I26" s="292">
        <v>121720</v>
      </c>
      <c r="J26" s="291">
        <v>0</v>
      </c>
      <c r="K26" s="436">
        <v>0</v>
      </c>
    </row>
    <row r="27" spans="1:12" ht="15" customHeight="1">
      <c r="A27" s="289" t="s">
        <v>17</v>
      </c>
      <c r="B27" s="291">
        <v>1471125</v>
      </c>
      <c r="C27" s="292">
        <v>11394196</v>
      </c>
      <c r="D27" s="291">
        <v>187061</v>
      </c>
      <c r="E27" s="292">
        <v>6050056</v>
      </c>
      <c r="F27" s="291">
        <v>1658186</v>
      </c>
      <c r="G27" s="292">
        <v>17444251</v>
      </c>
      <c r="H27" s="291">
        <v>144949</v>
      </c>
      <c r="I27" s="292">
        <v>3795952</v>
      </c>
      <c r="J27" s="291">
        <v>333025</v>
      </c>
      <c r="K27" s="436">
        <v>9016821</v>
      </c>
    </row>
    <row r="28" spans="1:12" ht="15" customHeight="1">
      <c r="A28" s="289" t="s">
        <v>18</v>
      </c>
      <c r="B28" s="291">
        <v>6572766</v>
      </c>
      <c r="C28" s="292">
        <v>123916073</v>
      </c>
      <c r="D28" s="291">
        <v>9647</v>
      </c>
      <c r="E28" s="292">
        <v>192291</v>
      </c>
      <c r="F28" s="291">
        <v>6582413</v>
      </c>
      <c r="G28" s="292">
        <v>124108364</v>
      </c>
      <c r="H28" s="291">
        <v>0</v>
      </c>
      <c r="I28" s="292">
        <v>0</v>
      </c>
      <c r="J28" s="291">
        <v>0</v>
      </c>
      <c r="K28" s="436">
        <v>0</v>
      </c>
    </row>
    <row r="29" spans="1:12" ht="15" customHeight="1">
      <c r="A29" s="289" t="s">
        <v>19</v>
      </c>
      <c r="B29" s="291">
        <v>3966612</v>
      </c>
      <c r="C29" s="292">
        <v>104956075</v>
      </c>
      <c r="D29" s="291">
        <v>105150</v>
      </c>
      <c r="E29" s="292">
        <v>3495739</v>
      </c>
      <c r="F29" s="291">
        <v>4071762</v>
      </c>
      <c r="G29" s="292">
        <v>108451814</v>
      </c>
      <c r="H29" s="291">
        <v>19833</v>
      </c>
      <c r="I29" s="292">
        <v>3552683</v>
      </c>
      <c r="J29" s="291">
        <v>0</v>
      </c>
      <c r="K29" s="436">
        <v>0</v>
      </c>
    </row>
    <row r="30" spans="1:12" ht="15" customHeight="1">
      <c r="A30" s="289" t="s">
        <v>20</v>
      </c>
      <c r="B30" s="291">
        <v>0</v>
      </c>
      <c r="C30" s="292">
        <v>0</v>
      </c>
      <c r="D30" s="291">
        <v>246062</v>
      </c>
      <c r="E30" s="292">
        <v>10452377</v>
      </c>
      <c r="F30" s="291">
        <v>246062</v>
      </c>
      <c r="G30" s="292">
        <v>10452377</v>
      </c>
      <c r="H30" s="291">
        <v>0</v>
      </c>
      <c r="I30" s="292">
        <v>0</v>
      </c>
      <c r="J30" s="291">
        <v>155905</v>
      </c>
      <c r="K30" s="436">
        <v>3166024</v>
      </c>
    </row>
    <row r="31" spans="1:12" ht="15" customHeight="1">
      <c r="A31" s="289" t="s">
        <v>21</v>
      </c>
      <c r="B31" s="291">
        <v>3502196</v>
      </c>
      <c r="C31" s="292">
        <v>68208670</v>
      </c>
      <c r="D31" s="291">
        <v>1254691</v>
      </c>
      <c r="E31" s="292">
        <v>36524349</v>
      </c>
      <c r="F31" s="291">
        <v>4756887</v>
      </c>
      <c r="G31" s="292">
        <v>104733018</v>
      </c>
      <c r="H31" s="291">
        <v>0</v>
      </c>
      <c r="I31" s="292">
        <v>0</v>
      </c>
      <c r="J31" s="291">
        <v>0</v>
      </c>
      <c r="K31" s="436">
        <v>0</v>
      </c>
    </row>
    <row r="32" spans="1:12" ht="15" customHeight="1">
      <c r="A32" s="289" t="s">
        <v>22</v>
      </c>
      <c r="B32" s="291">
        <v>115933</v>
      </c>
      <c r="C32" s="292">
        <v>5224454</v>
      </c>
      <c r="D32" s="291">
        <v>34032</v>
      </c>
      <c r="E32" s="292">
        <v>757863</v>
      </c>
      <c r="F32" s="291">
        <v>149965</v>
      </c>
      <c r="G32" s="292">
        <v>5982318</v>
      </c>
      <c r="H32" s="291">
        <v>159</v>
      </c>
      <c r="I32" s="292">
        <v>13900</v>
      </c>
      <c r="J32" s="291">
        <v>0</v>
      </c>
      <c r="K32" s="436">
        <v>0</v>
      </c>
    </row>
    <row r="33" spans="1:12" ht="15" customHeight="1">
      <c r="A33" s="289"/>
      <c r="B33" s="291" t="s">
        <v>2</v>
      </c>
      <c r="C33" s="292" t="s">
        <v>2</v>
      </c>
      <c r="D33" s="291" t="s">
        <v>2</v>
      </c>
      <c r="E33" s="292" t="s">
        <v>2</v>
      </c>
      <c r="F33" s="291" t="s">
        <v>2</v>
      </c>
      <c r="G33" s="292" t="s">
        <v>2</v>
      </c>
      <c r="H33" s="291" t="s">
        <v>2</v>
      </c>
      <c r="I33" s="292" t="s">
        <v>2</v>
      </c>
      <c r="J33" s="291" t="s">
        <v>2</v>
      </c>
      <c r="K33" s="436" t="s">
        <v>2</v>
      </c>
    </row>
    <row r="34" spans="1:12" ht="15" customHeight="1">
      <c r="A34" s="297" t="s">
        <v>0</v>
      </c>
      <c r="B34" s="424">
        <v>63714722</v>
      </c>
      <c r="C34" s="423">
        <v>1861584746</v>
      </c>
      <c r="D34" s="424">
        <v>11400933</v>
      </c>
      <c r="E34" s="423">
        <v>385478386</v>
      </c>
      <c r="F34" s="424">
        <v>75115655</v>
      </c>
      <c r="G34" s="423">
        <v>2247063131</v>
      </c>
      <c r="H34" s="424">
        <v>3756755</v>
      </c>
      <c r="I34" s="423">
        <v>54559592</v>
      </c>
      <c r="J34" s="424">
        <v>5784712</v>
      </c>
      <c r="K34" s="438">
        <v>74960081</v>
      </c>
    </row>
    <row r="35" spans="1:12" ht="15" customHeight="1">
      <c r="A35" s="297"/>
      <c r="B35" s="424" t="s">
        <v>2</v>
      </c>
      <c r="C35" s="423" t="s">
        <v>2</v>
      </c>
      <c r="D35" s="424" t="s">
        <v>2</v>
      </c>
      <c r="E35" s="423" t="s">
        <v>2</v>
      </c>
      <c r="F35" s="424" t="s">
        <v>2</v>
      </c>
      <c r="G35" s="423" t="s">
        <v>2</v>
      </c>
      <c r="H35" s="424" t="s">
        <v>2</v>
      </c>
      <c r="I35" s="423" t="s">
        <v>2</v>
      </c>
      <c r="J35" s="424" t="s">
        <v>2</v>
      </c>
      <c r="K35" s="438" t="s">
        <v>2</v>
      </c>
    </row>
    <row r="36" spans="1:12" ht="15" customHeight="1">
      <c r="A36" s="456" t="str">
        <f>'I-2'!A37</f>
        <v>2023.10</v>
      </c>
      <c r="B36" s="291">
        <v>63630256</v>
      </c>
      <c r="C36" s="292">
        <v>1863646056</v>
      </c>
      <c r="D36" s="291">
        <v>11464277</v>
      </c>
      <c r="E36" s="292">
        <v>387124941</v>
      </c>
      <c r="F36" s="291">
        <v>75094533</v>
      </c>
      <c r="G36" s="292">
        <v>2250770996</v>
      </c>
      <c r="H36" s="291">
        <v>3772811</v>
      </c>
      <c r="I36" s="292">
        <v>54809087</v>
      </c>
      <c r="J36" s="291">
        <v>5847657</v>
      </c>
      <c r="K36" s="436">
        <v>74640359</v>
      </c>
    </row>
    <row r="37" spans="1:12" ht="15" customHeight="1">
      <c r="A37" s="456" t="str">
        <f>'I-2'!A38</f>
        <v>2023.9</v>
      </c>
      <c r="B37" s="291">
        <v>63630498</v>
      </c>
      <c r="C37" s="292">
        <v>1866897671</v>
      </c>
      <c r="D37" s="291">
        <v>11534717</v>
      </c>
      <c r="E37" s="292">
        <v>389415886</v>
      </c>
      <c r="F37" s="291">
        <v>75165215</v>
      </c>
      <c r="G37" s="292">
        <v>2256313557</v>
      </c>
      <c r="H37" s="291">
        <v>3798351</v>
      </c>
      <c r="I37" s="292">
        <v>56214793</v>
      </c>
      <c r="J37" s="291">
        <v>5871751</v>
      </c>
      <c r="K37" s="436">
        <v>74476423</v>
      </c>
    </row>
    <row r="38" spans="1:12" ht="15" customHeight="1">
      <c r="A38" s="456" t="str">
        <f>'I-2'!A39</f>
        <v>2023.8</v>
      </c>
      <c r="B38" s="291">
        <v>63609496</v>
      </c>
      <c r="C38" s="292">
        <v>1869076480</v>
      </c>
      <c r="D38" s="291">
        <v>11595299</v>
      </c>
      <c r="E38" s="292">
        <v>391332250</v>
      </c>
      <c r="F38" s="291">
        <v>75204795</v>
      </c>
      <c r="G38" s="292">
        <v>2260408730</v>
      </c>
      <c r="H38" s="291">
        <v>3923026</v>
      </c>
      <c r="I38" s="292">
        <v>56792609</v>
      </c>
      <c r="J38" s="291">
        <v>5958563</v>
      </c>
      <c r="K38" s="436">
        <v>74309648</v>
      </c>
    </row>
    <row r="39" spans="1:12" ht="15" customHeight="1" thickBot="1">
      <c r="A39" s="304"/>
      <c r="B39" s="268"/>
      <c r="C39" s="269"/>
      <c r="D39" s="268"/>
      <c r="E39" s="269"/>
      <c r="F39" s="268"/>
      <c r="G39" s="269"/>
      <c r="H39" s="268"/>
      <c r="I39" s="269"/>
      <c r="J39" s="346"/>
      <c r="K39" s="347"/>
    </row>
    <row r="40" spans="1:12" ht="15" customHeight="1">
      <c r="A40" s="176" t="s">
        <v>284</v>
      </c>
      <c r="B40" s="263"/>
      <c r="C40" s="263"/>
      <c r="D40" s="263"/>
      <c r="E40" s="263"/>
      <c r="F40" s="263"/>
      <c r="G40" s="263"/>
      <c r="H40" s="263"/>
      <c r="I40" s="263"/>
      <c r="J40" s="15"/>
      <c r="K40" s="15"/>
      <c r="L40" s="14"/>
    </row>
    <row r="41" spans="1:12" ht="15" customHeight="1">
      <c r="J41" s="14"/>
      <c r="K41" s="14"/>
      <c r="L41" s="14"/>
    </row>
    <row r="42" spans="1:12" ht="15" customHeight="1">
      <c r="J42" s="14"/>
      <c r="K42" s="14"/>
      <c r="L42" s="14"/>
    </row>
    <row r="43" spans="1:12" ht="15" customHeight="1"/>
    <row r="44" spans="1:12" ht="15" customHeight="1"/>
  </sheetData>
  <mergeCells count="6">
    <mergeCell ref="D8:E8"/>
    <mergeCell ref="F8:G8"/>
    <mergeCell ref="J7:K8"/>
    <mergeCell ref="B8:C8"/>
    <mergeCell ref="B7:G7"/>
    <mergeCell ref="H7:I8"/>
  </mergeCells>
  <phoneticPr fontId="2" type="noConversion"/>
  <pageMargins left="0.68" right="0.43" top="0.87" bottom="0.57999999999999996" header="0.26" footer="0.37"/>
  <pageSetup paperSize="9" scale="90" orientation="landscape" r:id="rId1"/>
  <headerFooter alignWithMargins="0">
    <oddFooter>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4"/>
  <sheetViews>
    <sheetView zoomScaleNormal="100" zoomScaleSheetLayoutView="90" workbookViewId="0">
      <pane xSplit="1" ySplit="8" topLeftCell="I12" activePane="bottomRight" state="frozen"/>
      <selection activeCell="P22" sqref="P22"/>
      <selection pane="topRight" activeCell="P22" sqref="P22"/>
      <selection pane="bottomLeft" activeCell="P22" sqref="P22"/>
      <selection pane="bottomRight" activeCell="B10" sqref="B10:U37"/>
    </sheetView>
  </sheetViews>
  <sheetFormatPr defaultColWidth="8.77734375" defaultRowHeight="12.95" customHeight="1"/>
  <cols>
    <col min="1" max="1" width="14.77734375" style="32" customWidth="1"/>
    <col min="2" max="21" width="11.77734375" style="17" customWidth="1"/>
    <col min="22" max="16384" width="8.77734375" style="32"/>
  </cols>
  <sheetData>
    <row r="1" spans="1:25" ht="15" customHeight="1"/>
    <row r="2" spans="1:25" ht="15" customHeight="1">
      <c r="A2" s="45" t="s">
        <v>184</v>
      </c>
    </row>
    <row r="3" spans="1:25" s="39" customFormat="1" ht="15" customHeight="1">
      <c r="A3" s="45" t="s">
        <v>185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</row>
    <row r="4" spans="1:25" ht="15" customHeight="1">
      <c r="A4" s="60"/>
    </row>
    <row r="5" spans="1:25" ht="15" customHeight="1">
      <c r="A5" s="60"/>
    </row>
    <row r="6" spans="1:25" ht="15" customHeight="1" thickBot="1">
      <c r="A6" s="177" t="str">
        <f>'I-2'!A6</f>
        <v>2023. 1. 1. - 2023. 11. 30.</v>
      </c>
      <c r="B6" s="317"/>
      <c r="C6" s="317"/>
      <c r="D6" s="317"/>
      <c r="E6" s="317"/>
      <c r="F6" s="317"/>
      <c r="G6" s="317"/>
      <c r="H6" s="317"/>
      <c r="I6" s="317"/>
      <c r="J6" s="317"/>
      <c r="K6" s="318"/>
      <c r="L6" s="317"/>
      <c r="M6" s="317"/>
      <c r="N6" s="317"/>
      <c r="O6" s="317"/>
      <c r="P6" s="317"/>
      <c r="Q6" s="317"/>
      <c r="R6" s="317"/>
      <c r="S6" s="317"/>
      <c r="T6" s="317"/>
      <c r="U6" s="319" t="s">
        <v>186</v>
      </c>
    </row>
    <row r="7" spans="1:25" s="375" customFormat="1" ht="15" customHeight="1">
      <c r="A7" s="374"/>
      <c r="B7" s="645" t="s">
        <v>189</v>
      </c>
      <c r="C7" s="645" t="s">
        <v>221</v>
      </c>
      <c r="D7" s="645" t="s">
        <v>222</v>
      </c>
      <c r="E7" s="645" t="s">
        <v>223</v>
      </c>
      <c r="F7" s="645" t="s">
        <v>224</v>
      </c>
      <c r="G7" s="645" t="s">
        <v>225</v>
      </c>
      <c r="H7" s="645" t="s">
        <v>226</v>
      </c>
      <c r="I7" s="645" t="s">
        <v>227</v>
      </c>
      <c r="J7" s="645" t="s">
        <v>228</v>
      </c>
      <c r="K7" s="645" t="s">
        <v>229</v>
      </c>
      <c r="L7" s="645" t="s">
        <v>230</v>
      </c>
      <c r="M7" s="645" t="s">
        <v>231</v>
      </c>
      <c r="N7" s="645" t="s">
        <v>232</v>
      </c>
      <c r="O7" s="645" t="s">
        <v>233</v>
      </c>
      <c r="P7" s="645" t="s">
        <v>234</v>
      </c>
      <c r="Q7" s="645" t="s">
        <v>235</v>
      </c>
      <c r="R7" s="604" t="s">
        <v>30</v>
      </c>
      <c r="S7" s="605"/>
      <c r="T7" s="605"/>
      <c r="U7" s="605"/>
      <c r="V7" s="375" t="s">
        <v>24</v>
      </c>
      <c r="W7" s="375" t="s">
        <v>24</v>
      </c>
      <c r="X7" s="375" t="s">
        <v>24</v>
      </c>
      <c r="Y7" s="375" t="s">
        <v>24</v>
      </c>
    </row>
    <row r="8" spans="1:25" s="375" customFormat="1" ht="15" customHeight="1">
      <c r="A8" s="376"/>
      <c r="B8" s="646"/>
      <c r="C8" s="646"/>
      <c r="D8" s="646"/>
      <c r="E8" s="646"/>
      <c r="F8" s="646"/>
      <c r="G8" s="646"/>
      <c r="H8" s="646"/>
      <c r="I8" s="646"/>
      <c r="J8" s="646"/>
      <c r="K8" s="646"/>
      <c r="L8" s="646"/>
      <c r="M8" s="646"/>
      <c r="N8" s="646"/>
      <c r="O8" s="646"/>
      <c r="P8" s="646"/>
      <c r="Q8" s="646"/>
      <c r="R8" s="348" t="s">
        <v>190</v>
      </c>
      <c r="S8" s="349" t="s">
        <v>191</v>
      </c>
      <c r="T8" s="350" t="s">
        <v>30</v>
      </c>
      <c r="U8" s="351" t="s">
        <v>192</v>
      </c>
    </row>
    <row r="9" spans="1:25" ht="15" customHeight="1">
      <c r="A9" s="264"/>
      <c r="B9" s="324"/>
      <c r="C9" s="325"/>
      <c r="D9" s="326"/>
      <c r="E9" s="325"/>
      <c r="F9" s="326"/>
      <c r="G9" s="325"/>
      <c r="H9" s="326"/>
      <c r="I9" s="325"/>
      <c r="J9" s="326"/>
      <c r="K9" s="325"/>
      <c r="L9" s="326"/>
      <c r="M9" s="325"/>
      <c r="N9" s="326"/>
      <c r="O9" s="325"/>
      <c r="P9" s="326"/>
      <c r="Q9" s="325"/>
      <c r="R9" s="326"/>
      <c r="S9" s="325"/>
      <c r="T9" s="326"/>
      <c r="U9" s="324"/>
    </row>
    <row r="10" spans="1:25" ht="15" customHeight="1">
      <c r="A10" s="289" t="s">
        <v>3</v>
      </c>
      <c r="B10" s="161">
        <v>14</v>
      </c>
      <c r="C10" s="159">
        <v>3</v>
      </c>
      <c r="D10" s="161">
        <v>1</v>
      </c>
      <c r="E10" s="159">
        <v>1</v>
      </c>
      <c r="F10" s="161">
        <v>1</v>
      </c>
      <c r="G10" s="159">
        <v>1</v>
      </c>
      <c r="H10" s="161">
        <v>0</v>
      </c>
      <c r="I10" s="159">
        <v>0</v>
      </c>
      <c r="J10" s="161">
        <v>0</v>
      </c>
      <c r="K10" s="159">
        <v>0</v>
      </c>
      <c r="L10" s="161">
        <v>0</v>
      </c>
      <c r="M10" s="159">
        <v>0</v>
      </c>
      <c r="N10" s="161">
        <v>0</v>
      </c>
      <c r="O10" s="159">
        <v>0</v>
      </c>
      <c r="P10" s="161">
        <v>0</v>
      </c>
      <c r="Q10" s="159">
        <v>0</v>
      </c>
      <c r="R10" s="161">
        <v>12</v>
      </c>
      <c r="S10" s="159">
        <v>9</v>
      </c>
      <c r="T10" s="161">
        <v>21</v>
      </c>
      <c r="U10" s="235">
        <v>17</v>
      </c>
    </row>
    <row r="11" spans="1:25" ht="15" customHeight="1">
      <c r="A11" s="289" t="s">
        <v>4</v>
      </c>
      <c r="B11" s="161">
        <v>647</v>
      </c>
      <c r="C11" s="159">
        <v>202</v>
      </c>
      <c r="D11" s="161">
        <v>140</v>
      </c>
      <c r="E11" s="159">
        <v>84</v>
      </c>
      <c r="F11" s="161">
        <v>110</v>
      </c>
      <c r="G11" s="159">
        <v>154</v>
      </c>
      <c r="H11" s="161">
        <v>41</v>
      </c>
      <c r="I11" s="159">
        <v>88</v>
      </c>
      <c r="J11" s="161">
        <v>80</v>
      </c>
      <c r="K11" s="159">
        <v>14</v>
      </c>
      <c r="L11" s="161">
        <v>25</v>
      </c>
      <c r="M11" s="159">
        <v>121</v>
      </c>
      <c r="N11" s="161">
        <v>30</v>
      </c>
      <c r="O11" s="159">
        <v>57</v>
      </c>
      <c r="P11" s="161">
        <v>108</v>
      </c>
      <c r="Q11" s="159">
        <v>94</v>
      </c>
      <c r="R11" s="161">
        <v>140</v>
      </c>
      <c r="S11" s="159">
        <v>1855</v>
      </c>
      <c r="T11" s="161">
        <v>1995</v>
      </c>
      <c r="U11" s="235">
        <v>1995</v>
      </c>
    </row>
    <row r="12" spans="1:25" ht="15" customHeight="1">
      <c r="A12" s="289" t="s">
        <v>5</v>
      </c>
      <c r="B12" s="161">
        <v>16228</v>
      </c>
      <c r="C12" s="159">
        <v>3643</v>
      </c>
      <c r="D12" s="161">
        <v>2329</v>
      </c>
      <c r="E12" s="159">
        <v>2071</v>
      </c>
      <c r="F12" s="161">
        <v>2305</v>
      </c>
      <c r="G12" s="159">
        <v>2694</v>
      </c>
      <c r="H12" s="161">
        <v>399</v>
      </c>
      <c r="I12" s="159">
        <v>3700</v>
      </c>
      <c r="J12" s="161">
        <v>980</v>
      </c>
      <c r="K12" s="159">
        <v>477</v>
      </c>
      <c r="L12" s="161">
        <v>453</v>
      </c>
      <c r="M12" s="159">
        <v>685</v>
      </c>
      <c r="N12" s="161">
        <v>310</v>
      </c>
      <c r="O12" s="159">
        <v>650</v>
      </c>
      <c r="P12" s="161">
        <v>730</v>
      </c>
      <c r="Q12" s="159">
        <v>309</v>
      </c>
      <c r="R12" s="161">
        <v>8254</v>
      </c>
      <c r="S12" s="159">
        <v>29709</v>
      </c>
      <c r="T12" s="161">
        <v>37963</v>
      </c>
      <c r="U12" s="235">
        <v>24396</v>
      </c>
    </row>
    <row r="13" spans="1:25" ht="15" customHeight="1">
      <c r="A13" s="289" t="s">
        <v>6</v>
      </c>
      <c r="B13" s="161">
        <v>319</v>
      </c>
      <c r="C13" s="159">
        <v>15</v>
      </c>
      <c r="D13" s="161">
        <v>11</v>
      </c>
      <c r="E13" s="159">
        <v>17</v>
      </c>
      <c r="F13" s="161">
        <v>133</v>
      </c>
      <c r="G13" s="159">
        <v>16</v>
      </c>
      <c r="H13" s="161">
        <v>3</v>
      </c>
      <c r="I13" s="159">
        <v>22</v>
      </c>
      <c r="J13" s="161">
        <v>8</v>
      </c>
      <c r="K13" s="159">
        <v>0</v>
      </c>
      <c r="L13" s="161">
        <v>1</v>
      </c>
      <c r="M13" s="159">
        <v>6</v>
      </c>
      <c r="N13" s="161">
        <v>0</v>
      </c>
      <c r="O13" s="159">
        <v>9</v>
      </c>
      <c r="P13" s="161">
        <v>3</v>
      </c>
      <c r="Q13" s="159">
        <v>3</v>
      </c>
      <c r="R13" s="161">
        <v>116</v>
      </c>
      <c r="S13" s="159">
        <v>450</v>
      </c>
      <c r="T13" s="161">
        <v>566</v>
      </c>
      <c r="U13" s="235">
        <v>520</v>
      </c>
    </row>
    <row r="14" spans="1:25" ht="15" customHeight="1">
      <c r="A14" s="289" t="s">
        <v>7</v>
      </c>
      <c r="B14" s="161">
        <v>5043</v>
      </c>
      <c r="C14" s="159">
        <v>1338</v>
      </c>
      <c r="D14" s="161">
        <v>1266</v>
      </c>
      <c r="E14" s="159">
        <v>790</v>
      </c>
      <c r="F14" s="161">
        <v>517</v>
      </c>
      <c r="G14" s="159">
        <v>1013</v>
      </c>
      <c r="H14" s="161">
        <v>275</v>
      </c>
      <c r="I14" s="159">
        <v>651</v>
      </c>
      <c r="J14" s="161">
        <v>479</v>
      </c>
      <c r="K14" s="159">
        <v>162</v>
      </c>
      <c r="L14" s="161">
        <v>161</v>
      </c>
      <c r="M14" s="159">
        <v>447</v>
      </c>
      <c r="N14" s="161">
        <v>274</v>
      </c>
      <c r="O14" s="159">
        <v>331</v>
      </c>
      <c r="P14" s="161">
        <v>727</v>
      </c>
      <c r="Q14" s="159">
        <v>254</v>
      </c>
      <c r="R14" s="161">
        <v>647</v>
      </c>
      <c r="S14" s="159">
        <v>13081</v>
      </c>
      <c r="T14" s="161">
        <v>13728</v>
      </c>
      <c r="U14" s="235">
        <v>13662</v>
      </c>
    </row>
    <row r="15" spans="1:25" ht="15" customHeight="1">
      <c r="A15" s="289" t="s">
        <v>8</v>
      </c>
      <c r="B15" s="161">
        <v>22</v>
      </c>
      <c r="C15" s="159">
        <v>4</v>
      </c>
      <c r="D15" s="161">
        <v>2</v>
      </c>
      <c r="E15" s="159">
        <v>0</v>
      </c>
      <c r="F15" s="161">
        <v>1</v>
      </c>
      <c r="G15" s="159">
        <v>0</v>
      </c>
      <c r="H15" s="161">
        <v>1</v>
      </c>
      <c r="I15" s="159">
        <v>0</v>
      </c>
      <c r="J15" s="161">
        <v>0</v>
      </c>
      <c r="K15" s="159">
        <v>0</v>
      </c>
      <c r="L15" s="161">
        <v>0</v>
      </c>
      <c r="M15" s="159">
        <v>0</v>
      </c>
      <c r="N15" s="161">
        <v>0</v>
      </c>
      <c r="O15" s="159">
        <v>0</v>
      </c>
      <c r="P15" s="161">
        <v>0</v>
      </c>
      <c r="Q15" s="159">
        <v>0</v>
      </c>
      <c r="R15" s="161">
        <v>11</v>
      </c>
      <c r="S15" s="159">
        <v>19</v>
      </c>
      <c r="T15" s="161">
        <v>30</v>
      </c>
      <c r="U15" s="235">
        <v>30</v>
      </c>
    </row>
    <row r="16" spans="1:25" ht="15" customHeight="1">
      <c r="A16" s="289" t="s">
        <v>9</v>
      </c>
      <c r="B16" s="161">
        <v>46</v>
      </c>
      <c r="C16" s="159">
        <v>17</v>
      </c>
      <c r="D16" s="161">
        <v>10</v>
      </c>
      <c r="E16" s="159">
        <v>4</v>
      </c>
      <c r="F16" s="161">
        <v>9</v>
      </c>
      <c r="G16" s="159">
        <v>11</v>
      </c>
      <c r="H16" s="161">
        <v>0</v>
      </c>
      <c r="I16" s="159">
        <v>0</v>
      </c>
      <c r="J16" s="161">
        <v>4</v>
      </c>
      <c r="K16" s="159">
        <v>0</v>
      </c>
      <c r="L16" s="161">
        <v>1</v>
      </c>
      <c r="M16" s="159">
        <v>8</v>
      </c>
      <c r="N16" s="161">
        <v>0</v>
      </c>
      <c r="O16" s="159">
        <v>0</v>
      </c>
      <c r="P16" s="161">
        <v>0</v>
      </c>
      <c r="Q16" s="159">
        <v>1</v>
      </c>
      <c r="R16" s="161">
        <v>52</v>
      </c>
      <c r="S16" s="159">
        <v>59</v>
      </c>
      <c r="T16" s="161">
        <v>111</v>
      </c>
      <c r="U16" s="235">
        <v>109</v>
      </c>
    </row>
    <row r="17" spans="1:21" ht="15" customHeight="1">
      <c r="A17" s="289" t="s">
        <v>10</v>
      </c>
      <c r="B17" s="161">
        <v>642</v>
      </c>
      <c r="C17" s="159">
        <v>111</v>
      </c>
      <c r="D17" s="161">
        <v>40</v>
      </c>
      <c r="E17" s="159">
        <v>13</v>
      </c>
      <c r="F17" s="161">
        <v>141</v>
      </c>
      <c r="G17" s="159">
        <v>24</v>
      </c>
      <c r="H17" s="161">
        <v>6</v>
      </c>
      <c r="I17" s="159">
        <v>28</v>
      </c>
      <c r="J17" s="161">
        <v>6</v>
      </c>
      <c r="K17" s="159">
        <v>3</v>
      </c>
      <c r="L17" s="161">
        <v>10</v>
      </c>
      <c r="M17" s="159">
        <v>21</v>
      </c>
      <c r="N17" s="161">
        <v>13</v>
      </c>
      <c r="O17" s="159">
        <v>7</v>
      </c>
      <c r="P17" s="161">
        <v>14</v>
      </c>
      <c r="Q17" s="159">
        <v>12</v>
      </c>
      <c r="R17" s="161">
        <v>283</v>
      </c>
      <c r="S17" s="159">
        <v>808</v>
      </c>
      <c r="T17" s="161">
        <v>1091</v>
      </c>
      <c r="U17" s="235">
        <v>1072</v>
      </c>
    </row>
    <row r="18" spans="1:21" ht="15" customHeight="1">
      <c r="A18" s="289" t="s">
        <v>11</v>
      </c>
      <c r="B18" s="161">
        <v>3065</v>
      </c>
      <c r="C18" s="159">
        <v>18</v>
      </c>
      <c r="D18" s="161">
        <v>10</v>
      </c>
      <c r="E18" s="159">
        <v>1</v>
      </c>
      <c r="F18" s="161">
        <v>22</v>
      </c>
      <c r="G18" s="159">
        <v>10</v>
      </c>
      <c r="H18" s="161">
        <v>0</v>
      </c>
      <c r="I18" s="159">
        <v>3</v>
      </c>
      <c r="J18" s="161">
        <v>9</v>
      </c>
      <c r="K18" s="159">
        <v>1</v>
      </c>
      <c r="L18" s="161">
        <v>0</v>
      </c>
      <c r="M18" s="159">
        <v>7</v>
      </c>
      <c r="N18" s="161">
        <v>0</v>
      </c>
      <c r="O18" s="159">
        <v>7</v>
      </c>
      <c r="P18" s="161">
        <v>0</v>
      </c>
      <c r="Q18" s="159">
        <v>0</v>
      </c>
      <c r="R18" s="161">
        <v>620</v>
      </c>
      <c r="S18" s="159">
        <v>2533</v>
      </c>
      <c r="T18" s="161">
        <v>3153</v>
      </c>
      <c r="U18" s="235">
        <v>913</v>
      </c>
    </row>
    <row r="19" spans="1:21" ht="15" customHeight="1">
      <c r="A19" s="289" t="s">
        <v>12</v>
      </c>
      <c r="B19" s="161">
        <v>943</v>
      </c>
      <c r="C19" s="159">
        <v>273</v>
      </c>
      <c r="D19" s="161">
        <v>137</v>
      </c>
      <c r="E19" s="159">
        <v>13</v>
      </c>
      <c r="F19" s="161">
        <v>209</v>
      </c>
      <c r="G19" s="159">
        <v>269</v>
      </c>
      <c r="H19" s="161">
        <v>11</v>
      </c>
      <c r="I19" s="159">
        <v>64</v>
      </c>
      <c r="J19" s="161">
        <v>78</v>
      </c>
      <c r="K19" s="159">
        <v>14</v>
      </c>
      <c r="L19" s="161">
        <v>9</v>
      </c>
      <c r="M19" s="159">
        <v>22</v>
      </c>
      <c r="N19" s="161">
        <v>14</v>
      </c>
      <c r="O19" s="159">
        <v>10</v>
      </c>
      <c r="P19" s="161">
        <v>51</v>
      </c>
      <c r="Q19" s="159">
        <v>3</v>
      </c>
      <c r="R19" s="161">
        <v>321</v>
      </c>
      <c r="S19" s="159">
        <v>1799</v>
      </c>
      <c r="T19" s="161">
        <v>2120</v>
      </c>
      <c r="U19" s="235">
        <v>1567</v>
      </c>
    </row>
    <row r="20" spans="1:21" ht="15" customHeight="1">
      <c r="A20" s="289" t="s">
        <v>13</v>
      </c>
      <c r="B20" s="327">
        <v>1748</v>
      </c>
      <c r="C20" s="232">
        <v>454</v>
      </c>
      <c r="D20" s="327">
        <v>307</v>
      </c>
      <c r="E20" s="232">
        <v>11</v>
      </c>
      <c r="F20" s="327">
        <v>83</v>
      </c>
      <c r="G20" s="232">
        <v>248</v>
      </c>
      <c r="H20" s="327">
        <v>59</v>
      </c>
      <c r="I20" s="232">
        <v>105</v>
      </c>
      <c r="J20" s="327">
        <v>48</v>
      </c>
      <c r="K20" s="232">
        <v>72</v>
      </c>
      <c r="L20" s="327">
        <v>5</v>
      </c>
      <c r="M20" s="232">
        <v>76</v>
      </c>
      <c r="N20" s="327">
        <v>13</v>
      </c>
      <c r="O20" s="232">
        <v>60</v>
      </c>
      <c r="P20" s="327">
        <v>50</v>
      </c>
      <c r="Q20" s="232">
        <v>6</v>
      </c>
      <c r="R20" s="327">
        <v>1507</v>
      </c>
      <c r="S20" s="232">
        <v>1838</v>
      </c>
      <c r="T20" s="327">
        <v>3345</v>
      </c>
      <c r="U20" s="328">
        <v>3345</v>
      </c>
    </row>
    <row r="21" spans="1:21" ht="15" customHeight="1">
      <c r="A21" s="289" t="s">
        <v>36</v>
      </c>
      <c r="B21" s="327">
        <v>2197</v>
      </c>
      <c r="C21" s="232">
        <v>7</v>
      </c>
      <c r="D21" s="327">
        <v>7</v>
      </c>
      <c r="E21" s="232">
        <v>2</v>
      </c>
      <c r="F21" s="327">
        <v>2</v>
      </c>
      <c r="G21" s="232">
        <v>5</v>
      </c>
      <c r="H21" s="327">
        <v>0</v>
      </c>
      <c r="I21" s="232">
        <v>0</v>
      </c>
      <c r="J21" s="327">
        <v>0</v>
      </c>
      <c r="K21" s="232">
        <v>0</v>
      </c>
      <c r="L21" s="327">
        <v>0</v>
      </c>
      <c r="M21" s="232">
        <v>0</v>
      </c>
      <c r="N21" s="327">
        <v>0</v>
      </c>
      <c r="O21" s="232">
        <v>0</v>
      </c>
      <c r="P21" s="327">
        <v>0</v>
      </c>
      <c r="Q21" s="232">
        <v>0</v>
      </c>
      <c r="R21" s="327">
        <v>366</v>
      </c>
      <c r="S21" s="232">
        <v>1854</v>
      </c>
      <c r="T21" s="327">
        <v>2220</v>
      </c>
      <c r="U21" s="328">
        <v>106</v>
      </c>
    </row>
    <row r="22" spans="1:21" ht="15" customHeight="1">
      <c r="A22" s="296" t="s">
        <v>37</v>
      </c>
      <c r="B22" s="327">
        <v>7328</v>
      </c>
      <c r="C22" s="232">
        <v>546</v>
      </c>
      <c r="D22" s="327">
        <v>305</v>
      </c>
      <c r="E22" s="232">
        <v>108</v>
      </c>
      <c r="F22" s="327">
        <v>195</v>
      </c>
      <c r="G22" s="232">
        <v>300</v>
      </c>
      <c r="H22" s="327">
        <v>40</v>
      </c>
      <c r="I22" s="232">
        <v>84</v>
      </c>
      <c r="J22" s="327">
        <v>71</v>
      </c>
      <c r="K22" s="232">
        <v>27</v>
      </c>
      <c r="L22" s="327">
        <v>8</v>
      </c>
      <c r="M22" s="232">
        <v>222</v>
      </c>
      <c r="N22" s="327">
        <v>14</v>
      </c>
      <c r="O22" s="232">
        <v>47</v>
      </c>
      <c r="P22" s="327">
        <v>17</v>
      </c>
      <c r="Q22" s="232">
        <v>107</v>
      </c>
      <c r="R22" s="327">
        <v>3661</v>
      </c>
      <c r="S22" s="232">
        <v>5758</v>
      </c>
      <c r="T22" s="327">
        <v>9419</v>
      </c>
      <c r="U22" s="328">
        <v>9282</v>
      </c>
    </row>
    <row r="23" spans="1:21" ht="15" customHeight="1">
      <c r="A23" s="289" t="s">
        <v>14</v>
      </c>
      <c r="B23" s="327">
        <v>2</v>
      </c>
      <c r="C23" s="232">
        <v>0</v>
      </c>
      <c r="D23" s="327">
        <v>0</v>
      </c>
      <c r="E23" s="232">
        <v>0</v>
      </c>
      <c r="F23" s="327">
        <v>0</v>
      </c>
      <c r="G23" s="232">
        <v>0</v>
      </c>
      <c r="H23" s="327">
        <v>0</v>
      </c>
      <c r="I23" s="232">
        <v>0</v>
      </c>
      <c r="J23" s="327">
        <v>0</v>
      </c>
      <c r="K23" s="232">
        <v>0</v>
      </c>
      <c r="L23" s="327">
        <v>0</v>
      </c>
      <c r="M23" s="232">
        <v>0</v>
      </c>
      <c r="N23" s="327">
        <v>0</v>
      </c>
      <c r="O23" s="232">
        <v>0</v>
      </c>
      <c r="P23" s="327">
        <v>0</v>
      </c>
      <c r="Q23" s="232">
        <v>0</v>
      </c>
      <c r="R23" s="327">
        <v>1</v>
      </c>
      <c r="S23" s="232">
        <v>1</v>
      </c>
      <c r="T23" s="327">
        <v>2</v>
      </c>
      <c r="U23" s="328">
        <v>2</v>
      </c>
    </row>
    <row r="24" spans="1:21" ht="15" customHeight="1">
      <c r="A24" s="289" t="s">
        <v>15</v>
      </c>
      <c r="B24" s="327">
        <v>47</v>
      </c>
      <c r="C24" s="232">
        <v>0</v>
      </c>
      <c r="D24" s="327">
        <v>0</v>
      </c>
      <c r="E24" s="232">
        <v>0</v>
      </c>
      <c r="F24" s="327">
        <v>0</v>
      </c>
      <c r="G24" s="232">
        <v>6</v>
      </c>
      <c r="H24" s="327">
        <v>0</v>
      </c>
      <c r="I24" s="232">
        <v>0</v>
      </c>
      <c r="J24" s="327">
        <v>0</v>
      </c>
      <c r="K24" s="232">
        <v>0</v>
      </c>
      <c r="L24" s="327">
        <v>0</v>
      </c>
      <c r="M24" s="232">
        <v>0</v>
      </c>
      <c r="N24" s="327">
        <v>0</v>
      </c>
      <c r="O24" s="232">
        <v>0</v>
      </c>
      <c r="P24" s="327">
        <v>0</v>
      </c>
      <c r="Q24" s="232">
        <v>0</v>
      </c>
      <c r="R24" s="327">
        <v>25</v>
      </c>
      <c r="S24" s="232">
        <v>28</v>
      </c>
      <c r="T24" s="327">
        <v>53</v>
      </c>
      <c r="U24" s="328">
        <v>53</v>
      </c>
    </row>
    <row r="25" spans="1:21" ht="15" customHeight="1">
      <c r="A25" s="289" t="s">
        <v>16</v>
      </c>
      <c r="B25" s="327">
        <v>0</v>
      </c>
      <c r="C25" s="232">
        <v>0</v>
      </c>
      <c r="D25" s="327">
        <v>0</v>
      </c>
      <c r="E25" s="232">
        <v>0</v>
      </c>
      <c r="F25" s="327">
        <v>0</v>
      </c>
      <c r="G25" s="232">
        <v>0</v>
      </c>
      <c r="H25" s="327">
        <v>0</v>
      </c>
      <c r="I25" s="232">
        <v>0</v>
      </c>
      <c r="J25" s="327">
        <v>0</v>
      </c>
      <c r="K25" s="232">
        <v>0</v>
      </c>
      <c r="L25" s="327">
        <v>0</v>
      </c>
      <c r="M25" s="232">
        <v>0</v>
      </c>
      <c r="N25" s="327">
        <v>0</v>
      </c>
      <c r="O25" s="232">
        <v>0</v>
      </c>
      <c r="P25" s="327">
        <v>0</v>
      </c>
      <c r="Q25" s="232">
        <v>0</v>
      </c>
      <c r="R25" s="327">
        <v>0</v>
      </c>
      <c r="S25" s="232">
        <v>0</v>
      </c>
      <c r="T25" s="327">
        <v>0</v>
      </c>
      <c r="U25" s="328">
        <v>0</v>
      </c>
    </row>
    <row r="26" spans="1:21" ht="15" customHeight="1">
      <c r="A26" s="289" t="s">
        <v>17</v>
      </c>
      <c r="B26" s="327">
        <v>246</v>
      </c>
      <c r="C26" s="232">
        <v>33</v>
      </c>
      <c r="D26" s="327">
        <v>31</v>
      </c>
      <c r="E26" s="232">
        <v>1</v>
      </c>
      <c r="F26" s="327">
        <v>26</v>
      </c>
      <c r="G26" s="232">
        <v>3</v>
      </c>
      <c r="H26" s="327">
        <v>0</v>
      </c>
      <c r="I26" s="232">
        <v>5</v>
      </c>
      <c r="J26" s="327">
        <v>0</v>
      </c>
      <c r="K26" s="232">
        <v>0</v>
      </c>
      <c r="L26" s="327">
        <v>0</v>
      </c>
      <c r="M26" s="232">
        <v>0</v>
      </c>
      <c r="N26" s="327">
        <v>0</v>
      </c>
      <c r="O26" s="232">
        <v>5</v>
      </c>
      <c r="P26" s="327">
        <v>1</v>
      </c>
      <c r="Q26" s="232">
        <v>1</v>
      </c>
      <c r="R26" s="327">
        <v>137</v>
      </c>
      <c r="S26" s="232">
        <v>215</v>
      </c>
      <c r="T26" s="327">
        <v>352</v>
      </c>
      <c r="U26" s="328">
        <v>352</v>
      </c>
    </row>
    <row r="27" spans="1:21" ht="15" customHeight="1">
      <c r="A27" s="289" t="s">
        <v>18</v>
      </c>
      <c r="B27" s="327">
        <v>75</v>
      </c>
      <c r="C27" s="232">
        <v>0</v>
      </c>
      <c r="D27" s="327">
        <v>0</v>
      </c>
      <c r="E27" s="232">
        <v>0</v>
      </c>
      <c r="F27" s="327">
        <v>0</v>
      </c>
      <c r="G27" s="232">
        <v>0</v>
      </c>
      <c r="H27" s="327">
        <v>0</v>
      </c>
      <c r="I27" s="232">
        <v>0</v>
      </c>
      <c r="J27" s="327">
        <v>0</v>
      </c>
      <c r="K27" s="232">
        <v>0</v>
      </c>
      <c r="L27" s="327">
        <v>0</v>
      </c>
      <c r="M27" s="232">
        <v>0</v>
      </c>
      <c r="N27" s="327">
        <v>0</v>
      </c>
      <c r="O27" s="232">
        <v>0</v>
      </c>
      <c r="P27" s="327">
        <v>0</v>
      </c>
      <c r="Q27" s="232">
        <v>0</v>
      </c>
      <c r="R27" s="327">
        <v>11</v>
      </c>
      <c r="S27" s="232">
        <v>64</v>
      </c>
      <c r="T27" s="327">
        <v>75</v>
      </c>
      <c r="U27" s="328">
        <v>75</v>
      </c>
    </row>
    <row r="28" spans="1:21" ht="15" customHeight="1">
      <c r="A28" s="289" t="s">
        <v>19</v>
      </c>
      <c r="B28" s="161">
        <v>857</v>
      </c>
      <c r="C28" s="159">
        <v>177</v>
      </c>
      <c r="D28" s="161">
        <v>0</v>
      </c>
      <c r="E28" s="159">
        <v>0</v>
      </c>
      <c r="F28" s="161">
        <v>33</v>
      </c>
      <c r="G28" s="159">
        <v>38</v>
      </c>
      <c r="H28" s="161">
        <v>0</v>
      </c>
      <c r="I28" s="159">
        <v>0</v>
      </c>
      <c r="J28" s="161">
        <v>1</v>
      </c>
      <c r="K28" s="159">
        <v>1</v>
      </c>
      <c r="L28" s="161">
        <v>0</v>
      </c>
      <c r="M28" s="159">
        <v>1</v>
      </c>
      <c r="N28" s="327">
        <v>20</v>
      </c>
      <c r="O28" s="232">
        <v>0</v>
      </c>
      <c r="P28" s="327">
        <v>21</v>
      </c>
      <c r="Q28" s="232">
        <v>0</v>
      </c>
      <c r="R28" s="327">
        <v>316</v>
      </c>
      <c r="S28" s="159">
        <v>833</v>
      </c>
      <c r="T28" s="161">
        <v>1149</v>
      </c>
      <c r="U28" s="235">
        <v>1149</v>
      </c>
    </row>
    <row r="29" spans="1:21" ht="15" customHeight="1">
      <c r="A29" s="289" t="s">
        <v>20</v>
      </c>
      <c r="B29" s="161">
        <v>0</v>
      </c>
      <c r="C29" s="159">
        <v>0</v>
      </c>
      <c r="D29" s="161">
        <v>0</v>
      </c>
      <c r="E29" s="159">
        <v>0</v>
      </c>
      <c r="F29" s="161">
        <v>0</v>
      </c>
      <c r="G29" s="159">
        <v>0</v>
      </c>
      <c r="H29" s="161">
        <v>0</v>
      </c>
      <c r="I29" s="159">
        <v>0</v>
      </c>
      <c r="J29" s="161">
        <v>0</v>
      </c>
      <c r="K29" s="159">
        <v>0</v>
      </c>
      <c r="L29" s="161">
        <v>0</v>
      </c>
      <c r="M29" s="159">
        <v>0</v>
      </c>
      <c r="N29" s="327">
        <v>0</v>
      </c>
      <c r="O29" s="232">
        <v>0</v>
      </c>
      <c r="P29" s="327">
        <v>0</v>
      </c>
      <c r="Q29" s="232">
        <v>0</v>
      </c>
      <c r="R29" s="327">
        <v>0</v>
      </c>
      <c r="S29" s="159">
        <v>0</v>
      </c>
      <c r="T29" s="161">
        <v>0</v>
      </c>
      <c r="U29" s="235">
        <v>0</v>
      </c>
    </row>
    <row r="30" spans="1:21" ht="15" customHeight="1">
      <c r="A30" s="289" t="s">
        <v>21</v>
      </c>
      <c r="B30" s="161">
        <v>210</v>
      </c>
      <c r="C30" s="159">
        <v>77</v>
      </c>
      <c r="D30" s="161">
        <v>34</v>
      </c>
      <c r="E30" s="159">
        <v>9</v>
      </c>
      <c r="F30" s="161">
        <v>16</v>
      </c>
      <c r="G30" s="159">
        <v>25</v>
      </c>
      <c r="H30" s="161">
        <v>24</v>
      </c>
      <c r="I30" s="159">
        <v>20</v>
      </c>
      <c r="J30" s="161">
        <v>45</v>
      </c>
      <c r="K30" s="159">
        <v>37</v>
      </c>
      <c r="L30" s="161">
        <v>7</v>
      </c>
      <c r="M30" s="159">
        <v>3</v>
      </c>
      <c r="N30" s="327">
        <v>0</v>
      </c>
      <c r="O30" s="232">
        <v>8</v>
      </c>
      <c r="P30" s="327">
        <v>51</v>
      </c>
      <c r="Q30" s="232">
        <v>6</v>
      </c>
      <c r="R30" s="327">
        <v>157</v>
      </c>
      <c r="S30" s="159">
        <v>415</v>
      </c>
      <c r="T30" s="161">
        <v>572</v>
      </c>
      <c r="U30" s="235">
        <v>572</v>
      </c>
    </row>
    <row r="31" spans="1:21" ht="15" customHeight="1">
      <c r="A31" s="289" t="s">
        <v>22</v>
      </c>
      <c r="B31" s="161">
        <v>0</v>
      </c>
      <c r="C31" s="159">
        <v>0</v>
      </c>
      <c r="D31" s="161">
        <v>0</v>
      </c>
      <c r="E31" s="159">
        <v>0</v>
      </c>
      <c r="F31" s="161">
        <v>0</v>
      </c>
      <c r="G31" s="159">
        <v>0</v>
      </c>
      <c r="H31" s="161">
        <v>0</v>
      </c>
      <c r="I31" s="159">
        <v>0</v>
      </c>
      <c r="J31" s="161">
        <v>0</v>
      </c>
      <c r="K31" s="159">
        <v>0</v>
      </c>
      <c r="L31" s="161">
        <v>0</v>
      </c>
      <c r="M31" s="159">
        <v>0</v>
      </c>
      <c r="N31" s="327">
        <v>0</v>
      </c>
      <c r="O31" s="232">
        <v>0</v>
      </c>
      <c r="P31" s="327">
        <v>0</v>
      </c>
      <c r="Q31" s="232">
        <v>0</v>
      </c>
      <c r="R31" s="327">
        <v>0</v>
      </c>
      <c r="S31" s="159">
        <v>0</v>
      </c>
      <c r="T31" s="161">
        <v>0</v>
      </c>
      <c r="U31" s="235">
        <v>0</v>
      </c>
    </row>
    <row r="32" spans="1:21" ht="15" customHeight="1">
      <c r="A32" s="289"/>
      <c r="B32" s="161" t="s">
        <v>2</v>
      </c>
      <c r="C32" s="159" t="s">
        <v>2</v>
      </c>
      <c r="D32" s="161" t="s">
        <v>2</v>
      </c>
      <c r="E32" s="159" t="s">
        <v>2</v>
      </c>
      <c r="F32" s="161" t="s">
        <v>2</v>
      </c>
      <c r="G32" s="159" t="s">
        <v>2</v>
      </c>
      <c r="H32" s="161" t="s">
        <v>2</v>
      </c>
      <c r="I32" s="159" t="s">
        <v>2</v>
      </c>
      <c r="J32" s="161" t="s">
        <v>2</v>
      </c>
      <c r="K32" s="159" t="s">
        <v>2</v>
      </c>
      <c r="L32" s="161" t="s">
        <v>2</v>
      </c>
      <c r="M32" s="159" t="s">
        <v>2</v>
      </c>
      <c r="N32" s="327" t="s">
        <v>2</v>
      </c>
      <c r="O32" s="232" t="s">
        <v>2</v>
      </c>
      <c r="P32" s="327" t="s">
        <v>2</v>
      </c>
      <c r="Q32" s="232" t="s">
        <v>2</v>
      </c>
      <c r="R32" s="327" t="s">
        <v>2</v>
      </c>
      <c r="S32" s="159" t="s">
        <v>2</v>
      </c>
      <c r="T32" s="161" t="s">
        <v>2</v>
      </c>
      <c r="U32" s="235" t="s">
        <v>2</v>
      </c>
    </row>
    <row r="33" spans="1:21" ht="15" customHeight="1">
      <c r="A33" s="297" t="s">
        <v>0</v>
      </c>
      <c r="B33" s="414">
        <v>39679</v>
      </c>
      <c r="C33" s="406">
        <v>6918</v>
      </c>
      <c r="D33" s="414">
        <v>4630</v>
      </c>
      <c r="E33" s="406">
        <v>3125</v>
      </c>
      <c r="F33" s="414">
        <v>3803</v>
      </c>
      <c r="G33" s="406">
        <v>4817</v>
      </c>
      <c r="H33" s="414">
        <v>859</v>
      </c>
      <c r="I33" s="406">
        <v>4770</v>
      </c>
      <c r="J33" s="414">
        <v>1809</v>
      </c>
      <c r="K33" s="406">
        <v>808</v>
      </c>
      <c r="L33" s="414">
        <v>680</v>
      </c>
      <c r="M33" s="406">
        <v>1619</v>
      </c>
      <c r="N33" s="429">
        <v>688</v>
      </c>
      <c r="O33" s="432">
        <v>1191</v>
      </c>
      <c r="P33" s="429">
        <v>1773</v>
      </c>
      <c r="Q33" s="432">
        <v>796</v>
      </c>
      <c r="R33" s="429">
        <v>16637</v>
      </c>
      <c r="S33" s="406">
        <v>61328</v>
      </c>
      <c r="T33" s="414">
        <v>77965</v>
      </c>
      <c r="U33" s="413">
        <v>59217</v>
      </c>
    </row>
    <row r="34" spans="1:21" ht="15" customHeight="1">
      <c r="A34" s="297"/>
      <c r="B34" s="414" t="s">
        <v>2</v>
      </c>
      <c r="C34" s="406" t="s">
        <v>2</v>
      </c>
      <c r="D34" s="414" t="s">
        <v>2</v>
      </c>
      <c r="E34" s="406" t="s">
        <v>2</v>
      </c>
      <c r="F34" s="414" t="s">
        <v>2</v>
      </c>
      <c r="G34" s="406" t="s">
        <v>2</v>
      </c>
      <c r="H34" s="414" t="s">
        <v>2</v>
      </c>
      <c r="I34" s="406" t="s">
        <v>2</v>
      </c>
      <c r="J34" s="414" t="s">
        <v>2</v>
      </c>
      <c r="K34" s="406" t="s">
        <v>2</v>
      </c>
      <c r="L34" s="414" t="s">
        <v>2</v>
      </c>
      <c r="M34" s="406" t="s">
        <v>2</v>
      </c>
      <c r="N34" s="429" t="s">
        <v>2</v>
      </c>
      <c r="O34" s="432" t="s">
        <v>2</v>
      </c>
      <c r="P34" s="429" t="s">
        <v>2</v>
      </c>
      <c r="Q34" s="432" t="s">
        <v>2</v>
      </c>
      <c r="R34" s="429" t="s">
        <v>2</v>
      </c>
      <c r="S34" s="406" t="s">
        <v>2</v>
      </c>
      <c r="T34" s="414" t="s">
        <v>2</v>
      </c>
      <c r="U34" s="413" t="s">
        <v>2</v>
      </c>
    </row>
    <row r="35" spans="1:21" ht="15" customHeight="1">
      <c r="A35" s="456" t="str">
        <f>'I-2'!A37</f>
        <v>2023.10</v>
      </c>
      <c r="B35" s="161">
        <v>39312</v>
      </c>
      <c r="C35" s="159">
        <v>6895</v>
      </c>
      <c r="D35" s="161">
        <v>4603</v>
      </c>
      <c r="E35" s="159">
        <v>3136</v>
      </c>
      <c r="F35" s="161">
        <v>3796</v>
      </c>
      <c r="G35" s="159">
        <v>4838</v>
      </c>
      <c r="H35" s="161">
        <v>864</v>
      </c>
      <c r="I35" s="159">
        <v>4776</v>
      </c>
      <c r="J35" s="161">
        <v>1799</v>
      </c>
      <c r="K35" s="159">
        <v>810</v>
      </c>
      <c r="L35" s="161">
        <v>679</v>
      </c>
      <c r="M35" s="159">
        <v>1621</v>
      </c>
      <c r="N35" s="327">
        <v>686</v>
      </c>
      <c r="O35" s="232">
        <v>1190</v>
      </c>
      <c r="P35" s="327">
        <v>1751</v>
      </c>
      <c r="Q35" s="232">
        <v>799</v>
      </c>
      <c r="R35" s="327">
        <v>16580</v>
      </c>
      <c r="S35" s="159">
        <v>60975</v>
      </c>
      <c r="T35" s="161">
        <v>77555</v>
      </c>
      <c r="U35" s="235">
        <v>59020</v>
      </c>
    </row>
    <row r="36" spans="1:21" ht="15" customHeight="1">
      <c r="A36" s="456" t="str">
        <f>'I-2'!A38</f>
        <v>2023.9</v>
      </c>
      <c r="B36" s="161">
        <v>39138</v>
      </c>
      <c r="C36" s="159">
        <v>6867</v>
      </c>
      <c r="D36" s="161">
        <v>4565</v>
      </c>
      <c r="E36" s="159">
        <v>3127</v>
      </c>
      <c r="F36" s="161">
        <v>3782</v>
      </c>
      <c r="G36" s="159">
        <v>4794</v>
      </c>
      <c r="H36" s="161">
        <v>854</v>
      </c>
      <c r="I36" s="159">
        <v>4810</v>
      </c>
      <c r="J36" s="161">
        <v>1803</v>
      </c>
      <c r="K36" s="159">
        <v>809</v>
      </c>
      <c r="L36" s="161">
        <v>679</v>
      </c>
      <c r="M36" s="159">
        <v>1621</v>
      </c>
      <c r="N36" s="327">
        <v>681</v>
      </c>
      <c r="O36" s="232">
        <v>1188</v>
      </c>
      <c r="P36" s="327">
        <v>1736</v>
      </c>
      <c r="Q36" s="232">
        <v>803</v>
      </c>
      <c r="R36" s="327">
        <v>16603</v>
      </c>
      <c r="S36" s="159">
        <v>60654</v>
      </c>
      <c r="T36" s="161">
        <v>77257</v>
      </c>
      <c r="U36" s="235">
        <v>58937</v>
      </c>
    </row>
    <row r="37" spans="1:21" ht="15" customHeight="1">
      <c r="A37" s="456" t="str">
        <f>'I-2'!A39</f>
        <v>2023.8</v>
      </c>
      <c r="B37" s="161">
        <v>38948</v>
      </c>
      <c r="C37" s="159">
        <v>6875</v>
      </c>
      <c r="D37" s="161">
        <v>4578</v>
      </c>
      <c r="E37" s="159">
        <v>3127</v>
      </c>
      <c r="F37" s="161">
        <v>3792</v>
      </c>
      <c r="G37" s="159">
        <v>4800</v>
      </c>
      <c r="H37" s="161">
        <v>838</v>
      </c>
      <c r="I37" s="159">
        <v>4811</v>
      </c>
      <c r="J37" s="161">
        <v>1802</v>
      </c>
      <c r="K37" s="159">
        <v>805</v>
      </c>
      <c r="L37" s="161">
        <v>680</v>
      </c>
      <c r="M37" s="159">
        <v>1622</v>
      </c>
      <c r="N37" s="327">
        <v>688</v>
      </c>
      <c r="O37" s="232">
        <v>1189</v>
      </c>
      <c r="P37" s="327">
        <v>1736</v>
      </c>
      <c r="Q37" s="232">
        <v>877</v>
      </c>
      <c r="R37" s="327">
        <v>16728</v>
      </c>
      <c r="S37" s="159">
        <v>60440</v>
      </c>
      <c r="T37" s="161">
        <v>77168</v>
      </c>
      <c r="U37" s="235">
        <v>58997</v>
      </c>
    </row>
    <row r="38" spans="1:21" ht="15" customHeight="1" thickBot="1">
      <c r="A38" s="311"/>
      <c r="B38" s="305"/>
      <c r="C38" s="269"/>
      <c r="D38" s="268"/>
      <c r="E38" s="269"/>
      <c r="F38" s="268"/>
      <c r="G38" s="269"/>
      <c r="H38" s="268"/>
      <c r="I38" s="269"/>
      <c r="J38" s="268"/>
      <c r="K38" s="269"/>
      <c r="L38" s="268"/>
      <c r="M38" s="269"/>
      <c r="N38" s="268"/>
      <c r="O38" s="269"/>
      <c r="P38" s="268"/>
      <c r="Q38" s="269"/>
      <c r="R38" s="268"/>
      <c r="S38" s="269"/>
      <c r="T38" s="268"/>
      <c r="U38" s="305"/>
    </row>
    <row r="39" spans="1:21" ht="15" customHeight="1">
      <c r="A39" s="176"/>
      <c r="B39" s="317"/>
      <c r="C39" s="317"/>
      <c r="D39" s="317"/>
      <c r="E39" s="317"/>
      <c r="F39" s="317"/>
      <c r="G39" s="317"/>
      <c r="H39" s="317"/>
      <c r="I39" s="317"/>
      <c r="J39" s="317"/>
      <c r="K39" s="318"/>
      <c r="L39" s="317"/>
      <c r="M39" s="317"/>
      <c r="N39" s="317"/>
      <c r="O39" s="317"/>
      <c r="P39" s="317"/>
      <c r="Q39" s="317"/>
      <c r="R39" s="317"/>
      <c r="S39" s="317"/>
      <c r="T39" s="317"/>
      <c r="U39" s="317"/>
    </row>
    <row r="40" spans="1:21" ht="15" customHeight="1">
      <c r="A40" s="8"/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</row>
    <row r="41" spans="1:21" ht="15" customHeight="1">
      <c r="A41" s="8"/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  <c r="S41" s="317"/>
      <c r="T41" s="317"/>
      <c r="U41" s="317"/>
    </row>
    <row r="42" spans="1:21" ht="15" customHeight="1"/>
    <row r="43" spans="1:21" ht="15" customHeight="1"/>
    <row r="44" spans="1:21" ht="15" customHeight="1"/>
  </sheetData>
  <mergeCells count="17">
    <mergeCell ref="R7:U7"/>
    <mergeCell ref="B7:B8"/>
    <mergeCell ref="C7:C8"/>
    <mergeCell ref="D7:D8"/>
    <mergeCell ref="E7:E8"/>
    <mergeCell ref="F7:F8"/>
    <mergeCell ref="G7:G8"/>
    <mergeCell ref="N7:N8"/>
    <mergeCell ref="O7:O8"/>
    <mergeCell ref="P7:P8"/>
    <mergeCell ref="Q7:Q8"/>
    <mergeCell ref="H7:H8"/>
    <mergeCell ref="I7:I8"/>
    <mergeCell ref="J7:J8"/>
    <mergeCell ref="K7:K8"/>
    <mergeCell ref="L7:L8"/>
    <mergeCell ref="M7:M8"/>
  </mergeCells>
  <phoneticPr fontId="2" type="noConversion"/>
  <pageMargins left="0.38" right="0.39" top="1" bottom="0.84" header="0.5" footer="0.5"/>
  <pageSetup paperSize="9" scale="81" orientation="landscape" r:id="rId1"/>
  <headerFooter alignWithMargins="0">
    <oddFooter>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4"/>
  <sheetViews>
    <sheetView tabSelected="1" zoomScaleNormal="100" zoomScaleSheetLayoutView="90" workbookViewId="0">
      <pane xSplit="1" ySplit="9" topLeftCell="B10" activePane="bottomRight" state="frozen"/>
      <selection activeCell="B31" sqref="B31:U40"/>
      <selection pane="topRight" activeCell="B31" sqref="B31:U40"/>
      <selection pane="bottomLeft" activeCell="B31" sqref="B31:U40"/>
      <selection pane="bottomRight" activeCell="P16" sqref="P16"/>
    </sheetView>
  </sheetViews>
  <sheetFormatPr defaultColWidth="9" defaultRowHeight="12.95" customHeight="1"/>
  <cols>
    <col min="1" max="1" width="14.77734375" style="8" customWidth="1"/>
    <col min="2" max="14" width="11.77734375" style="8" customWidth="1"/>
    <col min="15" max="15" width="9" style="8" customWidth="1"/>
    <col min="16" max="16384" width="9" style="8"/>
  </cols>
  <sheetData>
    <row r="1" spans="1:14" ht="15" customHeight="1"/>
    <row r="2" spans="1:14" ht="15" customHeight="1">
      <c r="A2" s="45" t="s">
        <v>184</v>
      </c>
    </row>
    <row r="3" spans="1:14" ht="15" customHeight="1">
      <c r="A3" s="9" t="s">
        <v>187</v>
      </c>
      <c r="B3" s="10"/>
      <c r="C3" s="10"/>
      <c r="D3" s="10"/>
      <c r="E3" s="10"/>
      <c r="F3" s="10"/>
      <c r="G3" s="10"/>
      <c r="H3" s="10"/>
      <c r="I3" s="90"/>
      <c r="J3" s="10"/>
      <c r="K3" s="10"/>
      <c r="L3" s="10"/>
    </row>
    <row r="4" spans="1:14" ht="15" customHeight="1">
      <c r="A4" s="11"/>
      <c r="B4" s="12"/>
      <c r="C4" s="12"/>
      <c r="D4" s="12"/>
      <c r="E4" s="12"/>
      <c r="F4" s="12"/>
      <c r="G4" s="102"/>
      <c r="H4" s="102"/>
      <c r="I4" s="102"/>
      <c r="J4" s="12"/>
      <c r="K4" s="12"/>
      <c r="L4" s="12"/>
    </row>
    <row r="5" spans="1:14" ht="15" customHeight="1">
      <c r="A5" s="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4" ht="15" customHeight="1" thickBot="1">
      <c r="A6" s="458" t="s">
        <v>295</v>
      </c>
      <c r="B6" s="352"/>
      <c r="C6" s="352"/>
      <c r="D6" s="352"/>
      <c r="E6" s="352"/>
      <c r="F6" s="352"/>
      <c r="G6" s="352"/>
      <c r="H6" s="352"/>
      <c r="I6" s="352"/>
      <c r="J6" s="352"/>
      <c r="K6" s="352"/>
      <c r="N6" s="353" t="s">
        <v>188</v>
      </c>
    </row>
    <row r="7" spans="1:14" ht="15" customHeight="1">
      <c r="A7" s="354"/>
      <c r="B7" s="647" t="s">
        <v>196</v>
      </c>
      <c r="C7" s="648"/>
      <c r="D7" s="648"/>
      <c r="E7" s="648"/>
      <c r="F7" s="649"/>
      <c r="G7" s="647" t="s">
        <v>197</v>
      </c>
      <c r="H7" s="648"/>
      <c r="I7" s="648"/>
      <c r="J7" s="648"/>
      <c r="K7" s="649"/>
      <c r="L7" s="647" t="s">
        <v>143</v>
      </c>
      <c r="M7" s="648"/>
      <c r="N7" s="648"/>
    </row>
    <row r="8" spans="1:14" ht="15" customHeight="1">
      <c r="A8" s="355"/>
      <c r="B8" s="356" t="s">
        <v>195</v>
      </c>
      <c r="C8" s="357"/>
      <c r="D8" s="650" t="s">
        <v>236</v>
      </c>
      <c r="E8" s="650" t="s">
        <v>32</v>
      </c>
      <c r="F8" s="650" t="s">
        <v>0</v>
      </c>
      <c r="G8" s="650" t="s">
        <v>237</v>
      </c>
      <c r="H8" s="650" t="s">
        <v>238</v>
      </c>
      <c r="I8" s="650" t="s">
        <v>34</v>
      </c>
      <c r="J8" s="650" t="s">
        <v>239</v>
      </c>
      <c r="K8" s="650" t="s">
        <v>0</v>
      </c>
      <c r="L8" s="650" t="s">
        <v>240</v>
      </c>
      <c r="M8" s="650" t="s">
        <v>31</v>
      </c>
      <c r="N8" s="652" t="s">
        <v>30</v>
      </c>
    </row>
    <row r="9" spans="1:14" ht="15" customHeight="1">
      <c r="A9" s="358"/>
      <c r="B9" s="359" t="s">
        <v>193</v>
      </c>
      <c r="C9" s="359" t="s">
        <v>194</v>
      </c>
      <c r="D9" s="651"/>
      <c r="E9" s="651"/>
      <c r="F9" s="651"/>
      <c r="G9" s="651"/>
      <c r="H9" s="651"/>
      <c r="I9" s="651"/>
      <c r="J9" s="651"/>
      <c r="K9" s="651"/>
      <c r="L9" s="651"/>
      <c r="M9" s="651"/>
      <c r="N9" s="653"/>
    </row>
    <row r="10" spans="1:14" ht="15" customHeight="1">
      <c r="A10" s="154"/>
      <c r="B10" s="360"/>
      <c r="C10" s="156"/>
      <c r="D10" s="335"/>
      <c r="E10" s="155"/>
      <c r="F10" s="361"/>
      <c r="G10" s="157"/>
      <c r="H10" s="155"/>
      <c r="I10" s="181"/>
      <c r="J10" s="155"/>
      <c r="K10" s="361"/>
      <c r="L10" s="362"/>
      <c r="M10" s="363"/>
      <c r="N10" s="261"/>
    </row>
    <row r="11" spans="1:14" ht="15" customHeight="1">
      <c r="A11" s="289" t="s">
        <v>3</v>
      </c>
      <c r="B11" s="161">
        <v>7</v>
      </c>
      <c r="C11" s="159">
        <v>47</v>
      </c>
      <c r="D11" s="161">
        <v>2598</v>
      </c>
      <c r="E11" s="159">
        <v>129</v>
      </c>
      <c r="F11" s="184">
        <v>2781</v>
      </c>
      <c r="G11" s="161">
        <v>0</v>
      </c>
      <c r="H11" s="159">
        <v>0</v>
      </c>
      <c r="I11" s="161">
        <v>0</v>
      </c>
      <c r="J11" s="232">
        <v>11</v>
      </c>
      <c r="K11" s="184">
        <v>11</v>
      </c>
      <c r="L11" s="364">
        <v>164</v>
      </c>
      <c r="M11" s="365">
        <v>142</v>
      </c>
      <c r="N11" s="366">
        <v>306</v>
      </c>
    </row>
    <row r="12" spans="1:14" ht="15" customHeight="1">
      <c r="A12" s="289" t="s">
        <v>4</v>
      </c>
      <c r="B12" s="161">
        <v>6</v>
      </c>
      <c r="C12" s="159">
        <v>15</v>
      </c>
      <c r="D12" s="161">
        <v>767</v>
      </c>
      <c r="E12" s="159">
        <v>3</v>
      </c>
      <c r="F12" s="184">
        <v>791</v>
      </c>
      <c r="G12" s="161">
        <v>0</v>
      </c>
      <c r="H12" s="159">
        <v>8</v>
      </c>
      <c r="I12" s="161">
        <v>51</v>
      </c>
      <c r="J12" s="232">
        <v>0</v>
      </c>
      <c r="K12" s="184">
        <v>59</v>
      </c>
      <c r="L12" s="364">
        <v>0</v>
      </c>
      <c r="M12" s="365">
        <v>92</v>
      </c>
      <c r="N12" s="366">
        <v>92</v>
      </c>
    </row>
    <row r="13" spans="1:14" ht="15" customHeight="1">
      <c r="A13" s="289" t="s">
        <v>5</v>
      </c>
      <c r="B13" s="327">
        <v>7</v>
      </c>
      <c r="C13" s="232">
        <v>59</v>
      </c>
      <c r="D13" s="327">
        <v>4890</v>
      </c>
      <c r="E13" s="232">
        <v>266</v>
      </c>
      <c r="F13" s="367">
        <v>5222</v>
      </c>
      <c r="G13" s="327">
        <v>0</v>
      </c>
      <c r="H13" s="232">
        <v>81</v>
      </c>
      <c r="I13" s="327">
        <v>582</v>
      </c>
      <c r="J13" s="232">
        <v>8</v>
      </c>
      <c r="K13" s="367">
        <v>671</v>
      </c>
      <c r="L13" s="368">
        <v>2188</v>
      </c>
      <c r="M13" s="365">
        <v>389</v>
      </c>
      <c r="N13" s="366">
        <v>2577</v>
      </c>
    </row>
    <row r="14" spans="1:14" ht="15" customHeight="1">
      <c r="A14" s="289" t="s">
        <v>6</v>
      </c>
      <c r="B14" s="161">
        <v>4</v>
      </c>
      <c r="C14" s="159">
        <v>9</v>
      </c>
      <c r="D14" s="161">
        <v>412</v>
      </c>
      <c r="E14" s="159">
        <v>27</v>
      </c>
      <c r="F14" s="184">
        <v>452</v>
      </c>
      <c r="G14" s="161">
        <v>0</v>
      </c>
      <c r="H14" s="159">
        <v>11</v>
      </c>
      <c r="I14" s="161">
        <v>0</v>
      </c>
      <c r="J14" s="232">
        <v>0</v>
      </c>
      <c r="K14" s="184">
        <v>11</v>
      </c>
      <c r="L14" s="364">
        <v>18</v>
      </c>
      <c r="M14" s="365">
        <v>198</v>
      </c>
      <c r="N14" s="366">
        <v>216</v>
      </c>
    </row>
    <row r="15" spans="1:14" ht="15" customHeight="1">
      <c r="A15" s="289" t="s">
        <v>7</v>
      </c>
      <c r="B15" s="161">
        <v>7</v>
      </c>
      <c r="C15" s="159">
        <v>47</v>
      </c>
      <c r="D15" s="161">
        <v>3591</v>
      </c>
      <c r="E15" s="159">
        <v>185</v>
      </c>
      <c r="F15" s="184">
        <v>3830</v>
      </c>
      <c r="G15" s="161">
        <v>7</v>
      </c>
      <c r="H15" s="159">
        <v>67</v>
      </c>
      <c r="I15" s="161">
        <v>469</v>
      </c>
      <c r="J15" s="232">
        <v>4</v>
      </c>
      <c r="K15" s="184">
        <v>547</v>
      </c>
      <c r="L15" s="364">
        <v>53</v>
      </c>
      <c r="M15" s="365">
        <v>123</v>
      </c>
      <c r="N15" s="366">
        <v>176</v>
      </c>
    </row>
    <row r="16" spans="1:14" ht="15" customHeight="1">
      <c r="A16" s="289" t="s">
        <v>8</v>
      </c>
      <c r="B16" s="161">
        <v>6</v>
      </c>
      <c r="C16" s="159">
        <v>6</v>
      </c>
      <c r="D16" s="161">
        <v>193</v>
      </c>
      <c r="E16" s="159">
        <v>2</v>
      </c>
      <c r="F16" s="184">
        <v>207</v>
      </c>
      <c r="G16" s="161">
        <v>0</v>
      </c>
      <c r="H16" s="159">
        <v>0</v>
      </c>
      <c r="I16" s="161">
        <v>1</v>
      </c>
      <c r="J16" s="232">
        <v>0</v>
      </c>
      <c r="K16" s="184">
        <v>1</v>
      </c>
      <c r="L16" s="364">
        <v>1</v>
      </c>
      <c r="M16" s="365">
        <v>74</v>
      </c>
      <c r="N16" s="366">
        <v>75</v>
      </c>
    </row>
    <row r="17" spans="1:14" ht="15" customHeight="1">
      <c r="A17" s="289" t="s">
        <v>9</v>
      </c>
      <c r="B17" s="161">
        <v>6</v>
      </c>
      <c r="C17" s="159">
        <v>36</v>
      </c>
      <c r="D17" s="161">
        <v>749</v>
      </c>
      <c r="E17" s="159">
        <v>4</v>
      </c>
      <c r="F17" s="184">
        <v>795</v>
      </c>
      <c r="G17" s="161">
        <v>0</v>
      </c>
      <c r="H17" s="159">
        <v>0</v>
      </c>
      <c r="I17" s="161">
        <v>0</v>
      </c>
      <c r="J17" s="232">
        <v>1</v>
      </c>
      <c r="K17" s="184">
        <v>1</v>
      </c>
      <c r="L17" s="364">
        <v>28</v>
      </c>
      <c r="M17" s="365">
        <v>105</v>
      </c>
      <c r="N17" s="366">
        <v>133</v>
      </c>
    </row>
    <row r="18" spans="1:14" ht="15" customHeight="1">
      <c r="A18" s="289" t="s">
        <v>10</v>
      </c>
      <c r="B18" s="161">
        <v>5</v>
      </c>
      <c r="C18" s="159">
        <v>7</v>
      </c>
      <c r="D18" s="161">
        <v>586</v>
      </c>
      <c r="E18" s="159">
        <v>5</v>
      </c>
      <c r="F18" s="184">
        <v>603</v>
      </c>
      <c r="G18" s="161">
        <v>3</v>
      </c>
      <c r="H18" s="159">
        <v>63</v>
      </c>
      <c r="I18" s="161">
        <v>4</v>
      </c>
      <c r="J18" s="232">
        <v>0</v>
      </c>
      <c r="K18" s="184">
        <v>70</v>
      </c>
      <c r="L18" s="364">
        <v>355</v>
      </c>
      <c r="M18" s="365">
        <v>117</v>
      </c>
      <c r="N18" s="366">
        <v>472</v>
      </c>
    </row>
    <row r="19" spans="1:14" ht="15" customHeight="1">
      <c r="A19" s="289" t="s">
        <v>11</v>
      </c>
      <c r="B19" s="161">
        <v>5</v>
      </c>
      <c r="C19" s="159">
        <v>17</v>
      </c>
      <c r="D19" s="161">
        <v>571</v>
      </c>
      <c r="E19" s="159">
        <v>3</v>
      </c>
      <c r="F19" s="184">
        <v>596</v>
      </c>
      <c r="G19" s="161">
        <v>9</v>
      </c>
      <c r="H19" s="159">
        <v>40</v>
      </c>
      <c r="I19" s="161">
        <v>0</v>
      </c>
      <c r="J19" s="232">
        <v>0</v>
      </c>
      <c r="K19" s="184">
        <v>49</v>
      </c>
      <c r="L19" s="364">
        <v>4</v>
      </c>
      <c r="M19" s="365">
        <v>93</v>
      </c>
      <c r="N19" s="366">
        <v>97</v>
      </c>
    </row>
    <row r="20" spans="1:14" ht="15" customHeight="1">
      <c r="A20" s="289" t="s">
        <v>12</v>
      </c>
      <c r="B20" s="161">
        <v>7</v>
      </c>
      <c r="C20" s="159">
        <v>16</v>
      </c>
      <c r="D20" s="161">
        <v>848</v>
      </c>
      <c r="E20" s="159">
        <v>40</v>
      </c>
      <c r="F20" s="184">
        <v>911</v>
      </c>
      <c r="G20" s="161">
        <v>0</v>
      </c>
      <c r="H20" s="159">
        <v>19</v>
      </c>
      <c r="I20" s="161">
        <v>47</v>
      </c>
      <c r="J20" s="232">
        <v>0</v>
      </c>
      <c r="K20" s="184">
        <v>66</v>
      </c>
      <c r="L20" s="364">
        <v>0</v>
      </c>
      <c r="M20" s="365">
        <v>119</v>
      </c>
      <c r="N20" s="366">
        <v>119</v>
      </c>
    </row>
    <row r="21" spans="1:14" ht="15" customHeight="1">
      <c r="A21" s="289" t="s">
        <v>13</v>
      </c>
      <c r="B21" s="161">
        <v>6</v>
      </c>
      <c r="C21" s="159">
        <v>24</v>
      </c>
      <c r="D21" s="161">
        <v>570</v>
      </c>
      <c r="E21" s="159">
        <v>14</v>
      </c>
      <c r="F21" s="184">
        <v>614</v>
      </c>
      <c r="G21" s="161">
        <v>15</v>
      </c>
      <c r="H21" s="159">
        <v>93</v>
      </c>
      <c r="I21" s="161">
        <v>0</v>
      </c>
      <c r="J21" s="232">
        <v>0</v>
      </c>
      <c r="K21" s="184">
        <v>108</v>
      </c>
      <c r="L21" s="364">
        <v>52</v>
      </c>
      <c r="M21" s="365">
        <v>90</v>
      </c>
      <c r="N21" s="366">
        <v>142</v>
      </c>
    </row>
    <row r="22" spans="1:14" ht="15" customHeight="1">
      <c r="A22" s="289" t="s">
        <v>36</v>
      </c>
      <c r="B22" s="161">
        <v>7</v>
      </c>
      <c r="C22" s="159">
        <v>19</v>
      </c>
      <c r="D22" s="161">
        <v>665</v>
      </c>
      <c r="E22" s="159">
        <v>45</v>
      </c>
      <c r="F22" s="184">
        <v>736</v>
      </c>
      <c r="G22" s="161">
        <v>1</v>
      </c>
      <c r="H22" s="159">
        <v>4</v>
      </c>
      <c r="I22" s="161">
        <v>0</v>
      </c>
      <c r="J22" s="232">
        <v>0</v>
      </c>
      <c r="K22" s="184">
        <v>5</v>
      </c>
      <c r="L22" s="364">
        <v>474</v>
      </c>
      <c r="M22" s="365">
        <v>151</v>
      </c>
      <c r="N22" s="366">
        <v>625</v>
      </c>
    </row>
    <row r="23" spans="1:14" s="84" customFormat="1" ht="15" customHeight="1">
      <c r="A23" s="296" t="s">
        <v>37</v>
      </c>
      <c r="B23" s="161">
        <v>7</v>
      </c>
      <c r="C23" s="159">
        <v>24</v>
      </c>
      <c r="D23" s="161">
        <v>1450</v>
      </c>
      <c r="E23" s="159">
        <v>3</v>
      </c>
      <c r="F23" s="184">
        <v>1484</v>
      </c>
      <c r="G23" s="161">
        <v>6</v>
      </c>
      <c r="H23" s="159">
        <v>189</v>
      </c>
      <c r="I23" s="161">
        <v>0</v>
      </c>
      <c r="J23" s="232">
        <v>0</v>
      </c>
      <c r="K23" s="184">
        <v>195</v>
      </c>
      <c r="L23" s="364">
        <v>166</v>
      </c>
      <c r="M23" s="365">
        <v>138</v>
      </c>
      <c r="N23" s="366">
        <v>304</v>
      </c>
    </row>
    <row r="24" spans="1:14" ht="15" customHeight="1">
      <c r="A24" s="289" t="s">
        <v>14</v>
      </c>
      <c r="B24" s="161">
        <v>6</v>
      </c>
      <c r="C24" s="159">
        <v>2</v>
      </c>
      <c r="D24" s="161">
        <v>85</v>
      </c>
      <c r="E24" s="159">
        <v>3</v>
      </c>
      <c r="F24" s="184">
        <v>96</v>
      </c>
      <c r="G24" s="161">
        <v>0</v>
      </c>
      <c r="H24" s="159">
        <v>0</v>
      </c>
      <c r="I24" s="161">
        <v>0</v>
      </c>
      <c r="J24" s="232">
        <v>0</v>
      </c>
      <c r="K24" s="184">
        <v>0</v>
      </c>
      <c r="L24" s="364">
        <v>13</v>
      </c>
      <c r="M24" s="365">
        <v>41</v>
      </c>
      <c r="N24" s="366">
        <v>54</v>
      </c>
    </row>
    <row r="25" spans="1:14" ht="15" customHeight="1">
      <c r="A25" s="289" t="s">
        <v>15</v>
      </c>
      <c r="B25" s="327">
        <v>4</v>
      </c>
      <c r="C25" s="232">
        <v>6</v>
      </c>
      <c r="D25" s="327">
        <v>154</v>
      </c>
      <c r="E25" s="232">
        <v>40</v>
      </c>
      <c r="F25" s="367">
        <v>204</v>
      </c>
      <c r="G25" s="327">
        <v>0</v>
      </c>
      <c r="H25" s="232">
        <v>4</v>
      </c>
      <c r="I25" s="327">
        <v>0</v>
      </c>
      <c r="J25" s="232">
        <v>0</v>
      </c>
      <c r="K25" s="367">
        <v>4</v>
      </c>
      <c r="L25" s="327">
        <v>0</v>
      </c>
      <c r="M25" s="365">
        <v>13</v>
      </c>
      <c r="N25" s="366">
        <v>13</v>
      </c>
    </row>
    <row r="26" spans="1:14" ht="15" customHeight="1">
      <c r="A26" s="289" t="s">
        <v>16</v>
      </c>
      <c r="B26" s="327">
        <v>7</v>
      </c>
      <c r="C26" s="232">
        <v>8</v>
      </c>
      <c r="D26" s="327">
        <v>159</v>
      </c>
      <c r="E26" s="232">
        <v>12</v>
      </c>
      <c r="F26" s="367">
        <v>186</v>
      </c>
      <c r="G26" s="327">
        <v>0</v>
      </c>
      <c r="H26" s="232">
        <v>1</v>
      </c>
      <c r="I26" s="327">
        <v>0</v>
      </c>
      <c r="J26" s="232">
        <v>0</v>
      </c>
      <c r="K26" s="367">
        <v>1</v>
      </c>
      <c r="L26" s="368">
        <v>0</v>
      </c>
      <c r="M26" s="365">
        <v>55</v>
      </c>
      <c r="N26" s="366">
        <v>55</v>
      </c>
    </row>
    <row r="27" spans="1:14" ht="15" customHeight="1">
      <c r="A27" s="289" t="s">
        <v>17</v>
      </c>
      <c r="B27" s="327">
        <v>9</v>
      </c>
      <c r="C27" s="232">
        <v>17</v>
      </c>
      <c r="D27" s="327">
        <v>375</v>
      </c>
      <c r="E27" s="232">
        <v>61</v>
      </c>
      <c r="F27" s="367">
        <v>462</v>
      </c>
      <c r="G27" s="327">
        <v>0</v>
      </c>
      <c r="H27" s="232">
        <v>14</v>
      </c>
      <c r="I27" s="327">
        <v>0</v>
      </c>
      <c r="J27" s="232">
        <v>0</v>
      </c>
      <c r="K27" s="367">
        <v>14</v>
      </c>
      <c r="L27" s="368">
        <v>0</v>
      </c>
      <c r="M27" s="365">
        <v>35</v>
      </c>
      <c r="N27" s="366">
        <v>35</v>
      </c>
    </row>
    <row r="28" spans="1:14" ht="15" customHeight="1">
      <c r="A28" s="289" t="s">
        <v>18</v>
      </c>
      <c r="B28" s="161">
        <v>7</v>
      </c>
      <c r="C28" s="159">
        <v>28</v>
      </c>
      <c r="D28" s="161">
        <v>625</v>
      </c>
      <c r="E28" s="159">
        <v>75</v>
      </c>
      <c r="F28" s="184">
        <v>735</v>
      </c>
      <c r="G28" s="161">
        <v>8</v>
      </c>
      <c r="H28" s="159">
        <v>1</v>
      </c>
      <c r="I28" s="161">
        <v>0</v>
      </c>
      <c r="J28" s="232">
        <v>0</v>
      </c>
      <c r="K28" s="184">
        <v>9</v>
      </c>
      <c r="L28" s="364">
        <v>0</v>
      </c>
      <c r="M28" s="365">
        <v>184</v>
      </c>
      <c r="N28" s="366">
        <v>184</v>
      </c>
    </row>
    <row r="29" spans="1:14" ht="15" customHeight="1">
      <c r="A29" s="289" t="s">
        <v>19</v>
      </c>
      <c r="B29" s="327">
        <v>5</v>
      </c>
      <c r="C29" s="232">
        <v>13</v>
      </c>
      <c r="D29" s="327">
        <v>574</v>
      </c>
      <c r="E29" s="232">
        <v>33</v>
      </c>
      <c r="F29" s="367">
        <v>625</v>
      </c>
      <c r="G29" s="327">
        <v>0</v>
      </c>
      <c r="H29" s="232">
        <v>0</v>
      </c>
      <c r="I29" s="327">
        <v>24</v>
      </c>
      <c r="J29" s="232">
        <v>0</v>
      </c>
      <c r="K29" s="367">
        <v>24</v>
      </c>
      <c r="L29" s="368">
        <v>151</v>
      </c>
      <c r="M29" s="365">
        <v>61</v>
      </c>
      <c r="N29" s="366">
        <v>212</v>
      </c>
    </row>
    <row r="30" spans="1:14" ht="15" customHeight="1">
      <c r="A30" s="289" t="s">
        <v>20</v>
      </c>
      <c r="B30" s="327">
        <v>7</v>
      </c>
      <c r="C30" s="232">
        <v>9</v>
      </c>
      <c r="D30" s="327">
        <v>174</v>
      </c>
      <c r="E30" s="232">
        <v>2</v>
      </c>
      <c r="F30" s="367">
        <v>192</v>
      </c>
      <c r="G30" s="327">
        <v>0</v>
      </c>
      <c r="H30" s="232">
        <v>0</v>
      </c>
      <c r="I30" s="327">
        <v>0</v>
      </c>
      <c r="J30" s="232">
        <v>0</v>
      </c>
      <c r="K30" s="367">
        <v>0</v>
      </c>
      <c r="L30" s="368">
        <v>0</v>
      </c>
      <c r="M30" s="365">
        <v>98</v>
      </c>
      <c r="N30" s="366">
        <v>98</v>
      </c>
    </row>
    <row r="31" spans="1:14" ht="15" customHeight="1">
      <c r="A31" s="289" t="s">
        <v>21</v>
      </c>
      <c r="B31" s="327">
        <v>9</v>
      </c>
      <c r="C31" s="232">
        <v>9</v>
      </c>
      <c r="D31" s="327">
        <v>883</v>
      </c>
      <c r="E31" s="232">
        <v>105</v>
      </c>
      <c r="F31" s="367">
        <v>1006</v>
      </c>
      <c r="G31" s="327">
        <v>21</v>
      </c>
      <c r="H31" s="232">
        <v>34</v>
      </c>
      <c r="I31" s="327">
        <v>0</v>
      </c>
      <c r="J31" s="232">
        <v>0</v>
      </c>
      <c r="K31" s="367">
        <v>55</v>
      </c>
      <c r="L31" s="368">
        <v>0</v>
      </c>
      <c r="M31" s="365">
        <v>113</v>
      </c>
      <c r="N31" s="366">
        <v>113</v>
      </c>
    </row>
    <row r="32" spans="1:14" ht="15" customHeight="1">
      <c r="A32" s="289" t="s">
        <v>22</v>
      </c>
      <c r="B32" s="327">
        <v>4</v>
      </c>
      <c r="C32" s="232">
        <v>0</v>
      </c>
      <c r="D32" s="327">
        <v>106</v>
      </c>
      <c r="E32" s="232">
        <v>16</v>
      </c>
      <c r="F32" s="367">
        <v>126</v>
      </c>
      <c r="G32" s="327">
        <v>0</v>
      </c>
      <c r="H32" s="232">
        <v>0</v>
      </c>
      <c r="I32" s="327">
        <v>0</v>
      </c>
      <c r="J32" s="232">
        <v>0</v>
      </c>
      <c r="K32" s="367">
        <v>0</v>
      </c>
      <c r="L32" s="368">
        <v>0</v>
      </c>
      <c r="M32" s="365">
        <v>6</v>
      </c>
      <c r="N32" s="366">
        <v>6</v>
      </c>
    </row>
    <row r="33" spans="1:14" ht="15" customHeight="1">
      <c r="A33" s="289"/>
      <c r="B33" s="327" t="s">
        <v>2</v>
      </c>
      <c r="C33" s="232" t="s">
        <v>2</v>
      </c>
      <c r="D33" s="327" t="s">
        <v>2</v>
      </c>
      <c r="E33" s="232" t="s">
        <v>2</v>
      </c>
      <c r="F33" s="367" t="s">
        <v>2</v>
      </c>
      <c r="G33" s="327" t="s">
        <v>2</v>
      </c>
      <c r="H33" s="232" t="s">
        <v>2</v>
      </c>
      <c r="I33" s="327" t="s">
        <v>2</v>
      </c>
      <c r="J33" s="232" t="s">
        <v>2</v>
      </c>
      <c r="K33" s="367" t="s">
        <v>2</v>
      </c>
      <c r="L33" s="368" t="s">
        <v>2</v>
      </c>
      <c r="M33" s="365" t="s">
        <v>2</v>
      </c>
      <c r="N33" s="366" t="s">
        <v>2</v>
      </c>
    </row>
    <row r="34" spans="1:14" ht="15" customHeight="1">
      <c r="A34" s="297" t="s">
        <v>0</v>
      </c>
      <c r="B34" s="414">
        <v>138</v>
      </c>
      <c r="C34" s="406">
        <v>418</v>
      </c>
      <c r="D34" s="414">
        <v>21025</v>
      </c>
      <c r="E34" s="406">
        <v>1073</v>
      </c>
      <c r="F34" s="415">
        <v>22654</v>
      </c>
      <c r="G34" s="414">
        <v>70</v>
      </c>
      <c r="H34" s="406">
        <v>629</v>
      </c>
      <c r="I34" s="414">
        <v>1178</v>
      </c>
      <c r="J34" s="432">
        <v>24</v>
      </c>
      <c r="K34" s="415">
        <v>1901</v>
      </c>
      <c r="L34" s="433">
        <v>3667</v>
      </c>
      <c r="M34" s="434">
        <v>2437</v>
      </c>
      <c r="N34" s="435">
        <v>6104</v>
      </c>
    </row>
    <row r="35" spans="1:14" ht="15" customHeight="1">
      <c r="A35" s="297"/>
      <c r="B35" s="414"/>
      <c r="C35" s="406"/>
      <c r="D35" s="414"/>
      <c r="E35" s="406"/>
      <c r="F35" s="415"/>
      <c r="G35" s="414"/>
      <c r="H35" s="406"/>
      <c r="I35" s="414"/>
      <c r="J35" s="432"/>
      <c r="K35" s="415"/>
      <c r="L35" s="433"/>
      <c r="M35" s="434"/>
      <c r="N35" s="435"/>
    </row>
    <row r="36" spans="1:14" ht="15" customHeight="1">
      <c r="A36" s="456" t="s">
        <v>294</v>
      </c>
      <c r="B36" s="161">
        <v>138</v>
      </c>
      <c r="C36" s="159">
        <v>419</v>
      </c>
      <c r="D36" s="161">
        <v>20972</v>
      </c>
      <c r="E36" s="159">
        <v>1084</v>
      </c>
      <c r="F36" s="184">
        <v>22613</v>
      </c>
      <c r="G36" s="161">
        <v>79</v>
      </c>
      <c r="H36" s="159">
        <v>632</v>
      </c>
      <c r="I36" s="161">
        <v>1193</v>
      </c>
      <c r="J36" s="232">
        <v>23</v>
      </c>
      <c r="K36" s="184">
        <v>1927</v>
      </c>
      <c r="L36" s="364">
        <v>3620</v>
      </c>
      <c r="M36" s="488">
        <v>2446</v>
      </c>
      <c r="N36" s="366">
        <v>6066</v>
      </c>
    </row>
    <row r="37" spans="1:14" ht="15" customHeight="1" thickBot="1">
      <c r="A37" s="369"/>
      <c r="B37" s="312"/>
      <c r="C37" s="170"/>
      <c r="D37" s="186"/>
      <c r="E37" s="170"/>
      <c r="F37" s="370"/>
      <c r="G37" s="186"/>
      <c r="H37" s="170"/>
      <c r="I37" s="186"/>
      <c r="J37" s="170"/>
      <c r="K37" s="370"/>
      <c r="L37" s="186"/>
      <c r="M37" s="332"/>
      <c r="N37" s="172"/>
    </row>
    <row r="38" spans="1:14" ht="15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4" ht="15" customHeight="1">
      <c r="A39" s="371" t="s">
        <v>285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4" ht="15" customHeight="1">
      <c r="A40" s="371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4" ht="15" customHeight="1"/>
    <row r="42" spans="1:14" ht="15" customHeight="1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4" ht="12.95" customHeight="1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4" ht="12.95" customHeight="1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</sheetData>
  <mergeCells count="14">
    <mergeCell ref="B7:F7"/>
    <mergeCell ref="G7:K7"/>
    <mergeCell ref="L7:N7"/>
    <mergeCell ref="I8:I9"/>
    <mergeCell ref="J8:J9"/>
    <mergeCell ref="K8:K9"/>
    <mergeCell ref="L8:L9"/>
    <mergeCell ref="M8:M9"/>
    <mergeCell ref="N8:N9"/>
    <mergeCell ref="D8:D9"/>
    <mergeCell ref="E8:E9"/>
    <mergeCell ref="F8:F9"/>
    <mergeCell ref="G8:G9"/>
    <mergeCell ref="H8:H9"/>
  </mergeCells>
  <phoneticPr fontId="2" type="noConversion"/>
  <pageMargins left="0.57999999999999996" right="0.75" top="0.67" bottom="0.41" header="0.5" footer="0.17"/>
  <pageSetup paperSize="9" scale="86" orientation="landscape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17</vt:i4>
      </vt:variant>
    </vt:vector>
  </HeadingPairs>
  <TitlesOfParts>
    <vt:vector size="31" baseType="lpstr">
      <vt:lpstr>I-1</vt:lpstr>
      <vt:lpstr>I-2</vt:lpstr>
      <vt:lpstr>I-3</vt:lpstr>
      <vt:lpstr>II-1</vt:lpstr>
      <vt:lpstr>II-2</vt:lpstr>
      <vt:lpstr>II-3</vt:lpstr>
      <vt:lpstr>III-1</vt:lpstr>
      <vt:lpstr>III-2</vt:lpstr>
      <vt:lpstr>III-3</vt:lpstr>
      <vt:lpstr>Ⅳ-1</vt:lpstr>
      <vt:lpstr>Ⅳ-2</vt:lpstr>
      <vt:lpstr>Ⅳ-3</vt:lpstr>
      <vt:lpstr>Ⅴ-1</vt:lpstr>
      <vt:lpstr>Ⅴ-2</vt:lpstr>
      <vt:lpstr>'Ⅳ-1'!Print_Area</vt:lpstr>
      <vt:lpstr>'Ⅳ-2'!Print_Area</vt:lpstr>
      <vt:lpstr>'Ⅳ-3'!Print_Area</vt:lpstr>
      <vt:lpstr>'Ⅴ-1'!Print_Area</vt:lpstr>
      <vt:lpstr>'Ⅴ-2'!Print_Area</vt:lpstr>
      <vt:lpstr>'I-1'!Print_Area</vt:lpstr>
      <vt:lpstr>'I-2'!Print_Area</vt:lpstr>
      <vt:lpstr>'I-3'!Print_Area</vt:lpstr>
      <vt:lpstr>'II-1'!Print_Area</vt:lpstr>
      <vt:lpstr>'II-3'!Print_Area</vt:lpstr>
      <vt:lpstr>'III-1'!Print_Area</vt:lpstr>
      <vt:lpstr>'III-2'!Print_Area</vt:lpstr>
      <vt:lpstr>'III-3'!Print_Area</vt:lpstr>
      <vt:lpstr>'Ⅳ-1'!Print_Titles</vt:lpstr>
      <vt:lpstr>'Ⅴ-1'!Print_Titles</vt:lpstr>
      <vt:lpstr>'III-2'!Print_Titles</vt:lpstr>
      <vt:lpstr>'III-3'!Print_Titles</vt:lpstr>
    </vt:vector>
  </TitlesOfParts>
  <Company>생명보험협회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박홍명</dc:creator>
  <cp:lastModifiedBy>이지윤</cp:lastModifiedBy>
  <cp:lastPrinted>2011-08-26T08:47:02Z</cp:lastPrinted>
  <dcterms:created xsi:type="dcterms:W3CDTF">2003-02-13T02:17:15Z</dcterms:created>
  <dcterms:modified xsi:type="dcterms:W3CDTF">2024-01-31T07:14:02Z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